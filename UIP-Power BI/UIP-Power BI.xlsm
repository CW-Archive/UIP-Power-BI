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-BI\UIP-Power BI\"/>
    </mc:Choice>
  </mc:AlternateContent>
  <xr:revisionPtr revIDLastSave="0" documentId="13_ncr:1_{793500B3-7EE6-4CBD-9BD3-CD7FC98CDB95}" xr6:coauthVersionLast="41" xr6:coauthVersionMax="41" xr10:uidLastSave="{00000000-0000-0000-0000-000000000000}"/>
  <bookViews>
    <workbookView xWindow="-120" yWindow="480" windowWidth="29040" windowHeight="15840" activeTab="8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Index" sheetId="2" r:id="rId9"/>
    <sheet name="0000" sheetId="19" r:id="rId10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4" l="1"/>
  <c r="B1" i="23"/>
  <c r="B1" i="22"/>
  <c r="B1" i="21"/>
  <c r="B1" i="3"/>
  <c r="B1" i="20"/>
  <c r="K4" i="9"/>
  <c r="J4" i="9"/>
  <c r="G4" i="9"/>
  <c r="F4" i="9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3" i="2" l="1"/>
  <c r="B8" i="2" l="1"/>
  <c r="B9" i="2"/>
  <c r="B7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<sst xmlns="http://schemas.openxmlformats.org/spreadsheetml/2006/main" count="145" uniqueCount="60">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</sst>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1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0" fontId="3" fillId="0" borderId="0" xfId="2" applyFont="1"/>
    <xf numFmtId="0" fontId="0" fillId="0" borderId="0" xfId="0" applyFont="1" applyBorder="1"/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49" fontId="0" fillId="0" borderId="0" xfId="0" applyNumberFormat="1"/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>
      <calculatedColumnFormula>IF(Measurements_Lookup(AreasTable_Template[[#This Row],[MID]],AreasTable_Template[[#Headers],[Area]])="", "", Measurements_Lookup(AreasTable_Template[[#This Row],[MID]],AreasTable_Template[[#Headers],[Area]]))</calculatedColumnFormula>
    </tableColumn>
    <tableColumn id="3" xr3:uid="{A3F243D1-75B1-4890-BF60-7FCDE1BEB88A}" name="Description">
      <calculatedColumnFormula>IF(Measurements_Lookup(AreasTable_Template[[#This Row],[MID]],AreasTable_Template[[#Headers],[Description]])="", "", Measurements_Lookup(AreasTable_Template[[#This Row],[MID]],AreasTable_Template[[#Headers],[Description]]))</calculatedColumnFormula>
    </tableColumn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>
      <calculatedColumnFormula>IF(Measurements_Lookup(AreasTable_Template[[#This Row],[MID]],AreasTable_Template[[#Headers],[Total]])="", "", Measurements_Lookup(AreasTable_Template[[#This Row],[MID]],AreasTable_Template[[#Headers],[Total]]))</calculatedColumnFormula>
    </tableColumn>
    <tableColumn id="7" xr3:uid="{D059C0B2-EFDD-4E22-8B67-B390908BE233}" name="Completed Total">
      <calculatedColumnFormula>IF(Measurements_Lookup(AreasTable_Template[[#This Row],[MID]],AreasTable_Template[[#Headers],[Completed Total]])="", "", Measurements_Lookup(AreasTable_Template[[#This Row],[MID]],AreasTable_Template[[#Headers],[Completed Total]]))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3" totalsRowShown="0">
  <autoFilter ref="B2:J3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3" dataDxfId="11" headerRowBorderDxfId="12" tableBorderDxfId="10" totalsRowBorderDxfId="9" dataCellStyle="Hyperlink">
  <autoFilter ref="B2:B9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7" dataDxfId="5" headerRowBorderDxfId="6" tableBorderDxfId="4" totalsRowBorderDxfId="3">
  <autoFilter ref="D2:F3" xr:uid="{D00C40E4-B4A8-4635-A28F-2E70A0E0178A}"/>
  <tableColumns count="3">
    <tableColumn id="1" xr3:uid="{FAE95E1F-8E91-4A91-813A-E1DFF07DA1B3}" name="Trade ID" dataDxfId="2" dataCellStyle="Hyperlink"/>
    <tableColumn id="3" xr3:uid="{6CEB8600-7C9F-45FD-A101-72A894BD3229}" name="Trade Name" dataDxfId="1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0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MID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F17" sqref="F1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11" customWidth="1"/>
  </cols>
  <sheetData>
    <row r="1" spans="2:18" x14ac:dyDescent="0.25">
      <c r="B1" s="19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25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 t="str">
        <f ca="1">IF(Measurements_Lookup(AreasTable_Template[[#This Row],[MID]],AreasTable_Template[[#Headers],[Area]])="", "", Measurements_Lookup(AreasTable_Template[[#This Row],[MID]],AreasTable_Template[[#Headers],[Area]]))</f>
        <v/>
      </c>
      <c r="G4" s="8" t="str">
        <f ca="1">IF(Measurements_Lookup(AreasTable_Template[[#This Row],[MID]],AreasTable_Template[[#Headers],[Description]])="", "", Measurements_Lookup(AreasTable_Template[[#This Row],[MID]],AreasTable_Template[[#Headers],[Description]]))</f>
        <v/>
      </c>
      <c r="H4" s="10"/>
      <c r="I4" s="10"/>
      <c r="J4" s="8" t="str">
        <f ca="1">IF(Measurements_Lookup(AreasTable_Template[[#This Row],[MID]],AreasTable_Template[[#Headers],[Total]])="", "", Measurements_Lookup(AreasTable_Template[[#This Row],[MID]],AreasTable_Template[[#Headers],[Total]]))</f>
        <v/>
      </c>
      <c r="K4" s="9" t="str">
        <f ca="1">IF(Measurements_Lookup(AreasTable_Template[[#This Row],[MID]],AreasTable_Template[[#Headers],[Completed Total]])="", "", Measurements_Lookup(AreasTable_Template[[#This Row],[MID]],AreasTable_Template[[#Headers],[Completed Total]]))</f>
        <v/>
      </c>
    </row>
    <row r="5" spans="2:18" x14ac:dyDescent="0.25">
      <c r="B5" t="s">
        <v>32</v>
      </c>
      <c r="C5" s="15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10:C10"/>
    <mergeCell ref="E2:K2"/>
    <mergeCell ref="M2:R2"/>
    <mergeCell ref="B2:C2"/>
  </mergeCells>
  <dataValidations disablePrompts="1"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F14" sqref="F14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4.8554687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F3" sqref="F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G21" sqref="G21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1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22"/>
      <c r="C3" s="10"/>
      <c r="D3" s="10"/>
      <c r="E3" s="10"/>
      <c r="F3" s="22"/>
      <c r="I3" s="22"/>
      <c r="J3" s="22"/>
      <c r="K3" s="22"/>
      <c r="L3" s="22"/>
      <c r="M3" s="22"/>
      <c r="N3" s="22"/>
      <c r="O3" s="22"/>
      <c r="P3" s="22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E37" sqref="E3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9" t="s">
        <v>0</v>
      </c>
      <c r="C2" s="29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9" t="s">
        <v>7</v>
      </c>
      <c r="C10" s="29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4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29" t="s">
        <v>42</v>
      </c>
      <c r="C21" s="29"/>
      <c r="E21" s="4">
        <v>44081</v>
      </c>
    </row>
    <row r="22" spans="2:5" x14ac:dyDescent="0.25">
      <c r="B22" s="1" t="s">
        <v>43</v>
      </c>
      <c r="C22" s="20" t="b">
        <v>1</v>
      </c>
      <c r="E22" s="4">
        <v>44146</v>
      </c>
    </row>
    <row r="23" spans="2:5" x14ac:dyDescent="0.25">
      <c r="B23" s="1" t="s">
        <v>44</v>
      </c>
      <c r="C23" s="20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tabSelected="1" workbookViewId="0">
      <selection activeCell="G16" sqref="G16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3" t="str">
        <f>HYPERLINK("#All_Measurements!A1","All_Measurements")</f>
        <v>All_Measurements</v>
      </c>
      <c r="C3" s="6"/>
      <c r="D3" s="30" t="s">
        <v>37</v>
      </c>
      <c r="E3" s="17" t="str">
        <f ca="1">HYPERLINK("#"&amp;TradesTable[[#This Row],[Trade ID]]&amp;"!A1", INDIRECT("'"&amp;TradesTable[[#This Row],[Trade ID]]&amp;"'!C3"))</f>
        <v>Example Trade</v>
      </c>
      <c r="F3" s="16">
        <f ca="1">INDIRECT("'"&amp;TradesTable[[#This Row],[Trade ID]]&amp;"'!C5")</f>
        <v>0</v>
      </c>
      <c r="G3" s="18"/>
      <c r="H3" s="6"/>
    </row>
    <row r="4" spans="1:14" ht="15.75" x14ac:dyDescent="0.25">
      <c r="A4" s="6"/>
      <c r="B4" s="12" t="str">
        <f>HYPERLINK("#Count!A1", "Count")</f>
        <v>Count</v>
      </c>
    </row>
    <row r="5" spans="1:14" ht="15.75" x14ac:dyDescent="0.25">
      <c r="A5" s="6"/>
      <c r="B5" s="12" t="str">
        <f>HYPERLINK("#Length!A1", "Length")</f>
        <v>Length</v>
      </c>
    </row>
    <row r="6" spans="1:14" ht="15.75" x14ac:dyDescent="0.25">
      <c r="A6" s="6"/>
      <c r="B6" s="12" t="str">
        <f>HYPERLINK("#'Wall Area'!A1", "Wall Area")</f>
        <v>Wall Area</v>
      </c>
    </row>
    <row r="7" spans="1:14" ht="15.75" x14ac:dyDescent="0.25">
      <c r="A7" s="6"/>
      <c r="B7" s="12" t="str">
        <f>HYPERLINK("#Area!A1", "Area")</f>
        <v>Area</v>
      </c>
    </row>
    <row r="8" spans="1:14" ht="15.75" x14ac:dyDescent="0.25">
      <c r="A8" s="6"/>
      <c r="B8" s="12" t="str">
        <f>HYPERLINK("#Volume!A1", "Volume")</f>
        <v>Volume</v>
      </c>
    </row>
    <row r="9" spans="1:14" ht="15.75" x14ac:dyDescent="0.25">
      <c r="A9" s="6"/>
      <c r="B9" s="12" t="str">
        <f>HYPERLINK("#Masonry!A1", "Masonry")</f>
        <v>Masonry</v>
      </c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B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R18"/>
  <sheetViews>
    <sheetView workbookViewId="0">
      <selection activeCell="C23" sqref="C23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19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25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38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36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Index</vt:lpstr>
      <vt:lpstr>0000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2019-07-22T05:52:12Z</dcterms:modified>
</cp:coreProperties>
</file>