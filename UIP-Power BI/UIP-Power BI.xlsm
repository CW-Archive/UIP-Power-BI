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omments1.xml" ContentType="application/vnd.openxmlformats-officedocument.spreadsheetml.comments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source\repos\UIP-Power BI\UIP-Power BI\"/>
    </mc:Choice>
  </mc:AlternateContent>
  <xr:revisionPtr revIDLastSave="0" documentId="13_ncr:1_{17BB70C7-B276-4F0D-A425-17B3E70B93DB}" xr6:coauthVersionLast="41" xr6:coauthVersionMax="41" xr10:uidLastSave="{00000000-0000-0000-0000-000000000000}"/>
  <bookViews>
    <workbookView xWindow="-120" yWindow="480" windowWidth="38640" windowHeight="23640" activeTab="9" xr2:uid="{53EC5176-8524-4654-8E38-866FA530850E}"/>
  </bookViews>
  <sheets>
    <sheet name="Template" sheetId="9" r:id="rId1"/>
    <sheet name="Count" sheetId="3" r:id="rId2"/>
    <sheet name="Length" sheetId="20" r:id="rId3"/>
    <sheet name="Wall Area" sheetId="21" r:id="rId4"/>
    <sheet name="Area" sheetId="22" r:id="rId5"/>
    <sheet name="Volume" sheetId="23" r:id="rId6"/>
    <sheet name="Masonry" sheetId="24" r:id="rId7"/>
    <sheet name="Settings" sheetId="10" r:id="rId8"/>
    <sheet name="Index" sheetId="2" r:id="rId9"/>
    <sheet name="0000" sheetId="19" r:id="rId10"/>
  </sheets>
  <functionGroups builtInGroupCount="19"/>
  <definedNames>
    <definedName name="Debug_Mode">Settings!$C$22</definedName>
    <definedName name="Development_Mode">Settings!$C$23</definedName>
    <definedName name="Schedule_Run_Date">Settings!$C$18</definedName>
    <definedName name="Works_Friday">Settings!$C$16</definedName>
    <definedName name="Works_Monday">Settings!$C$12</definedName>
    <definedName name="Works_Saturday">Settings!$C$17</definedName>
    <definedName name="Works_Sunday">Settings!$C$11</definedName>
    <definedName name="Works_Thrusday">Settings!$C$15</definedName>
    <definedName name="Works_Tuesday">Settings!$C$13</definedName>
    <definedName name="Works_Wednesday">Settings!$C$14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" i="24" l="1"/>
  <c r="B1" i="23"/>
  <c r="B1" i="22"/>
  <c r="B1" i="21"/>
  <c r="B1" i="3"/>
  <c r="B1" i="20"/>
  <c r="F4" i="9"/>
  <c r="J4" i="9"/>
  <c r="K4" i="9"/>
  <c r="G4" i="9"/>
  <c r="B1" i="19" l="1"/>
  <c r="B1" i="9"/>
  <c r="C18" i="19" l="1"/>
  <c r="C17" i="19"/>
  <c r="C16" i="19"/>
  <c r="C15" i="19"/>
  <c r="C14" i="19"/>
  <c r="C13" i="19"/>
  <c r="C12" i="19"/>
  <c r="C11" i="19"/>
  <c r="C18" i="9"/>
  <c r="C12" i="9"/>
  <c r="C17" i="9"/>
  <c r="C16" i="9"/>
  <c r="C15" i="9"/>
  <c r="C14" i="9"/>
  <c r="C13" i="9"/>
  <c r="C11" i="9"/>
  <c r="E3" i="2"/>
  <c r="F3" i="2"/>
  <c r="B7" i="2" l="1"/>
  <c r="B8" i="2"/>
  <c r="B6" i="2"/>
  <c r="B5" i="2"/>
  <c r="B4" i="2"/>
  <c r="B3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F2" authorId="0" shapeId="0" xr:uid="{8BAE2D12-C2C7-49AB-B2C7-B4CF907A6542}">
      <text>
        <r>
          <rPr>
            <b/>
            <sz val="9"/>
            <color indexed="81"/>
            <rFont val="Tahoma"/>
            <family val="2"/>
          </rPr>
          <t>Total Wall Area</t>
        </r>
      </text>
    </comment>
  </commentList>
</comments>
</file>

<file path=xl/sharedStrings.xml><?xml version="1.0" encoding="utf-8"?>
<sst xmlns="http://schemas.openxmlformats.org/spreadsheetml/2006/main" count="145" uniqueCount="61">
  <si>
    <t>Project Information</t>
  </si>
  <si>
    <t>Project Name</t>
  </si>
  <si>
    <t>Project Number</t>
  </si>
  <si>
    <t>Project Manager(s)</t>
  </si>
  <si>
    <t>Project Superintendant(s)</t>
  </si>
  <si>
    <t>Project Engineer(s)</t>
  </si>
  <si>
    <t>Project Assisstant(s)</t>
  </si>
  <si>
    <t>Default Settings</t>
  </si>
  <si>
    <t>Works Sunday</t>
  </si>
  <si>
    <t>Works Monday</t>
  </si>
  <si>
    <t>Works Tuesday</t>
  </si>
  <si>
    <t>Works Wednesday</t>
  </si>
  <si>
    <t>Works Thrusday</t>
  </si>
  <si>
    <t>Works Friday</t>
  </si>
  <si>
    <t>Works Saturday</t>
  </si>
  <si>
    <t>Project Holidays - No production figured</t>
  </si>
  <si>
    <t>Date</t>
  </si>
  <si>
    <t>Schedule Run Date</t>
  </si>
  <si>
    <t>Trade Settings</t>
  </si>
  <si>
    <t>Description</t>
  </si>
  <si>
    <t>Start Date</t>
  </si>
  <si>
    <t>Finish Date</t>
  </si>
  <si>
    <t>Area</t>
  </si>
  <si>
    <t>Total</t>
  </si>
  <si>
    <t>Completed Total</t>
  </si>
  <si>
    <t>Trade Settings (Automatically Generated)</t>
  </si>
  <si>
    <t>Column1</t>
  </si>
  <si>
    <t>Areas Table</t>
  </si>
  <si>
    <t>Trade Info</t>
  </si>
  <si>
    <t>Sub Name</t>
  </si>
  <si>
    <t>Trade Name</t>
  </si>
  <si>
    <t>Measurements</t>
  </si>
  <si>
    <t>Last Update</t>
  </si>
  <si>
    <t>NO</t>
  </si>
  <si>
    <t>YES</t>
  </si>
  <si>
    <t>Trade ID</t>
  </si>
  <si>
    <t>Example Sub</t>
  </si>
  <si>
    <t>0000</t>
  </si>
  <si>
    <t>Example Trade</t>
  </si>
  <si>
    <t>TRADE NAME</t>
  </si>
  <si>
    <t>SUB NAME</t>
  </si>
  <si>
    <t>MID</t>
  </si>
  <si>
    <t>Other Settings</t>
  </si>
  <si>
    <t>Debug Mode</t>
  </si>
  <si>
    <t>Development Mode</t>
  </si>
  <si>
    <t>Trade PDF Names</t>
  </si>
  <si>
    <t>Status Complete</t>
  </si>
  <si>
    <t>Status 25 Percent</t>
  </si>
  <si>
    <t>Status 50 Percent</t>
  </si>
  <si>
    <t>Status 75 Percent</t>
  </si>
  <si>
    <t>Block Multiplier</t>
  </si>
  <si>
    <t>Status 4</t>
  </si>
  <si>
    <t>Status 8</t>
  </si>
  <si>
    <t>BB Total SF</t>
  </si>
  <si>
    <t>Status 12</t>
  </si>
  <si>
    <t>Status 16</t>
  </si>
  <si>
    <t>Status 20</t>
  </si>
  <si>
    <t>Status 24</t>
  </si>
  <si>
    <t>Status 28</t>
  </si>
  <si>
    <t>Label</t>
  </si>
  <si>
    <t>Trade Export (Automatically Generated)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</si>
</sst>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8"/>
      <color theme="0"/>
      <name val="Calibri"/>
      <family val="2"/>
      <scheme val="minor"/>
    </font>
    <font>
      <sz val="11"/>
      <name val="Calibri"/>
      <family val="2"/>
      <scheme val="minor"/>
    </font>
    <font>
      <sz val="14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9"/>
      <color indexed="81"/>
      <name val="Tahoma"/>
      <family val="2"/>
    </font>
  </fonts>
  <fills count="7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2F2F2"/>
      </patternFill>
    </fill>
  </fills>
  <borders count="1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/>
      <right/>
      <top/>
      <bottom style="double">
        <color rgb="FFFF8001"/>
      </bottom>
      <diagonal/>
    </border>
  </borders>
  <cellStyleXfs count="5">
    <xf numFmtId="0" fontId="0" fillId="0" borderId="0"/>
    <xf numFmtId="0" fontId="1" fillId="2" borderId="1" applyNumberFormat="0" applyAlignment="0" applyProtection="0"/>
    <xf numFmtId="0" fontId="3" fillId="0" borderId="0" applyNumberFormat="0" applyFill="0" applyBorder="0" applyAlignment="0" applyProtection="0"/>
    <xf numFmtId="0" fontId="9" fillId="6" borderId="1" applyNumberFormat="0" applyAlignment="0" applyProtection="0"/>
    <xf numFmtId="0" fontId="10" fillId="0" borderId="10" applyNumberFormat="0" applyFill="0" applyAlignment="0" applyProtection="0"/>
  </cellStyleXfs>
  <cellXfs count="30">
    <xf numFmtId="0" fontId="0" fillId="0" borderId="0" xfId="0"/>
    <xf numFmtId="0" fontId="0" fillId="0" borderId="2" xfId="0" applyBorder="1"/>
    <xf numFmtId="0" fontId="1" fillId="2" borderId="2" xfId="1" applyBorder="1"/>
    <xf numFmtId="0" fontId="0" fillId="0" borderId="0" xfId="0" applyAlignment="1">
      <alignment horizontal="center" vertical="center" wrapText="1"/>
    </xf>
    <xf numFmtId="14" fontId="0" fillId="0" borderId="0" xfId="0" applyNumberFormat="1"/>
    <xf numFmtId="0" fontId="0" fillId="0" borderId="3" xfId="0" applyBorder="1"/>
    <xf numFmtId="0" fontId="0" fillId="0" borderId="0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2" borderId="1" xfId="1"/>
    <xf numFmtId="0" fontId="4" fillId="3" borderId="0" xfId="0" applyFont="1" applyFill="1" applyBorder="1" applyAlignment="1">
      <alignment horizontal="center" vertical="center"/>
    </xf>
    <xf numFmtId="0" fontId="5" fillId="0" borderId="0" xfId="2" applyFont="1" applyBorder="1" applyAlignment="1">
      <alignment horizontal="left"/>
    </xf>
    <xf numFmtId="14" fontId="1" fillId="2" borderId="2" xfId="1" applyNumberFormat="1" applyBorder="1" applyAlignment="1">
      <alignment horizontal="left"/>
    </xf>
    <xf numFmtId="0" fontId="9" fillId="6" borderId="1" xfId="3"/>
    <xf numFmtId="14" fontId="7" fillId="0" borderId="0" xfId="2" applyNumberFormat="1" applyFont="1" applyBorder="1" applyAlignment="1">
      <alignment horizontal="left"/>
    </xf>
    <xf numFmtId="0" fontId="3" fillId="0" borderId="0" xfId="2" applyFont="1"/>
    <xf numFmtId="0" fontId="0" fillId="0" borderId="0" xfId="0" applyFont="1" applyBorder="1"/>
    <xf numFmtId="0" fontId="3" fillId="0" borderId="0" xfId="2"/>
    <xf numFmtId="0" fontId="1" fillId="2" borderId="2" xfId="1" applyBorder="1" applyAlignment="1">
      <alignment horizontal="left"/>
    </xf>
    <xf numFmtId="0" fontId="11" fillId="0" borderId="0" xfId="0" applyFont="1"/>
    <xf numFmtId="0" fontId="10" fillId="0" borderId="10" xfId="4"/>
    <xf numFmtId="49" fontId="0" fillId="0" borderId="0" xfId="0" applyNumberFormat="1"/>
    <xf numFmtId="0" fontId="2" fillId="4" borderId="2" xfId="0" applyFont="1" applyFill="1" applyBorder="1" applyAlignment="1">
      <alignment horizontal="center" vertical="center"/>
    </xf>
    <xf numFmtId="0" fontId="8" fillId="5" borderId="4" xfId="0" applyFont="1" applyFill="1" applyBorder="1" applyAlignment="1">
      <alignment horizontal="center" vertical="center"/>
    </xf>
    <xf numFmtId="0" fontId="8" fillId="5" borderId="5" xfId="0" applyFont="1" applyFill="1" applyBorder="1" applyAlignment="1">
      <alignment horizontal="center" vertical="center"/>
    </xf>
    <xf numFmtId="0" fontId="8" fillId="5" borderId="6" xfId="0" applyFont="1" applyFill="1" applyBorder="1" applyAlignment="1">
      <alignment horizontal="center" vertical="center"/>
    </xf>
    <xf numFmtId="0" fontId="8" fillId="5" borderId="3" xfId="0" applyFont="1" applyFill="1" applyBorder="1" applyAlignment="1">
      <alignment horizontal="center" vertical="center"/>
    </xf>
    <xf numFmtId="0" fontId="8" fillId="5" borderId="0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</cellXfs>
  <cellStyles count="5">
    <cellStyle name="Calculation" xfId="3" builtinId="22"/>
    <cellStyle name="Hyperlink" xfId="2" builtinId="8"/>
    <cellStyle name="Input" xfId="1" builtinId="20"/>
    <cellStyle name="Linked Cell" xfId="4" builtinId="24"/>
    <cellStyle name="Normal" xfId="0" builtinId="0"/>
  </cellStyles>
  <dxfs count="1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9" formatCode="m/d/yyyy"/>
      <alignment horizontal="left" vertical="bottom" textRotation="0" wrapText="0" indent="0" justifyLastLine="0" shrinkToFit="0" readingOrder="0"/>
    </dxf>
    <dxf>
      <font>
        <strike val="0"/>
        <outline val="0"/>
        <shadow val="0"/>
        <vertAlign val="baseline"/>
        <sz val="11"/>
        <name val="Calibri"/>
        <family val="2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/>
        <vertAlign val="baseline"/>
        <sz val="11"/>
        <color theme="10"/>
        <name val="Calibri"/>
        <family val="2"/>
        <scheme val="minor"/>
      </font>
      <numFmt numFmtId="30" formatCode="@"/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strike val="0"/>
        <outline val="0"/>
        <shadow val="0"/>
        <vertAlign val="baseline"/>
        <sz val="11"/>
        <name val="Calibri"/>
        <family val="2"/>
        <scheme val="minor"/>
      </font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theme="0" tint="-0.249977111117893"/>
        </left>
        <right style="thin">
          <color theme="0" tint="-0.249977111117893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top style="thin">
          <color theme="0" tint="-0.249977111117893"/>
        </top>
      </border>
    </dxf>
    <dxf>
      <border outline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/>
        <vertAlign val="baseline"/>
        <sz val="12"/>
        <color theme="10"/>
        <name val="Calibri"/>
        <family val="2"/>
        <scheme val="minor"/>
      </font>
      <alignment horizontal="left" vertical="bottom" textRotation="0" wrapText="0" indent="0" justifyLastLine="0" shrinkToFit="0" readingOrder="0"/>
    </dxf>
    <dxf>
      <border outline="0">
        <bottom style="thin">
          <color theme="0" tint="-0.249977111117893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E18A1DB-C555-40CB-A21F-A728DE82669B}" name="AreasTable_Template" displayName="AreasTable_Template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3FEC12E2-2D5C-4016-B2ED-CDFF0C8BDF00}" name="MID" dataCellStyle="Input"/>
    <tableColumn id="2" xr3:uid="{CCBE6DD3-F6D7-4047-BFFF-A55C39114383}" name="Area">
      <calculatedColumnFormula>IF(Measurements_Lookup(AreasTable_Template[[#This Row],[MID]],AreasTable_Template[[#Headers],[Area]])="", "", Measurements_Lookup(AreasTable_Template[[#This Row],[MID]],AreasTable_Template[[#Headers],[Area]]))</calculatedColumnFormula>
    </tableColumn>
    <tableColumn id="3" xr3:uid="{A3F243D1-75B1-4890-BF60-7FCDE1BEB88A}" name="Description">
      <calculatedColumnFormula>IF(Measurements_Lookup(AreasTable_Template[[#This Row],[MID]],AreasTable_Template[[#Headers],[Description]])="", "", Measurements_Lookup(AreasTable_Template[[#This Row],[MID]],AreasTable_Template[[#Headers],[Description]]))</calculatedColumnFormula>
    </tableColumn>
    <tableColumn id="4" xr3:uid="{FD07EE07-EDEE-4396-9033-F53AD77BC4A3}" name="Start Date" dataCellStyle="Input"/>
    <tableColumn id="5" xr3:uid="{D25B38CF-AD49-402A-971D-F2CE80308E4B}" name="Finish Date" dataCellStyle="Input"/>
    <tableColumn id="6" xr3:uid="{44ABE4DF-A59E-48E2-9424-F4368F19D2E8}" name="Total">
      <calculatedColumnFormula>IF(Measurements_Lookup(AreasTable_Template[[#This Row],[MID]],AreasTable_Template[[#Headers],[Total]])="", "", Measurements_Lookup(AreasTable_Template[[#This Row],[MID]],AreasTable_Template[[#Headers],[Total]]))</calculatedColumnFormula>
    </tableColumn>
    <tableColumn id="7" xr3:uid="{D059C0B2-EFDD-4E22-8B67-B390908BE233}" name="Completed Total">
      <calculatedColumnFormula>IF(Measurements_Lookup(AreasTable_Template[[#This Row],[MID]],AreasTable_Template[[#Headers],[Completed Total]])="", "", Measurements_Lookup(AreasTable_Template[[#This Row],[MID]],AreasTable_Template[[#Headers],[Completed Total]]))</calculatedColumnFormula>
    </tableColumn>
  </tableColumns>
  <tableStyleInfo name="TableStyleLight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6066101-CFD1-477F-8A3B-D1086118A514}" name="ExportTable_Template" displayName="ExportTable_Template" ref="M3:M4" insertRow="1" totalsRowShown="0">
  <autoFilter ref="M3:M4" xr:uid="{E91115CA-0BA6-4ECC-AF7F-36F1B519716B}"/>
  <tableColumns count="1">
    <tableColumn id="1" xr3:uid="{F5EE036D-4407-43D5-972D-590B648A9D16}" name="Column1"/>
  </tableColumns>
  <tableStyleInfo name="TableStyleLight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97159A8-B8ED-4670-8894-36754922492E}" name="CountTable" displayName="CountTable" ref="B2:J3" totalsRowShown="0">
  <autoFilter ref="B2:J3" xr:uid="{B42C1189-C8DA-494A-B32D-54407D2511B0}"/>
  <tableColumns count="9">
    <tableColumn id="1" xr3:uid="{C6719D8A-EEC9-4198-AB18-CB05C17FBF68}" name="Label" dataCellStyle="Linked Cell"/>
    <tableColumn id="2" xr3:uid="{D21F6202-305F-4CA4-9550-7C3E541CAACB}" name="Area" dataCellStyle="Input"/>
    <tableColumn id="3" xr3:uid="{A6CC5316-775C-4A16-AE7B-1DD6EBCA82D2}" name="Description" dataCellStyle="Input"/>
    <tableColumn id="4" xr3:uid="{DE5E6991-75AE-41DE-9507-1C9F8D8DB975}" name="Total" dataCellStyle="Linked Cell"/>
    <tableColumn id="5" xr3:uid="{B23B68F2-F309-4A4D-B1CB-A6A7686BA761}" name="Completed Total"/>
    <tableColumn id="6" xr3:uid="{51BE4835-DB9C-4A7C-B63B-5A2731176B44}" name="Status Complete" dataCellStyle="Linked Cell"/>
    <tableColumn id="7" xr3:uid="{DED99F8F-31DA-4D4F-8028-665AE6C38B07}" name="Status 25 Percent" dataCellStyle="Linked Cell"/>
    <tableColumn id="8" xr3:uid="{F5D3423F-FCB3-4F22-B65D-7E7A9C8007A9}" name="Status 50 Percent" dataCellStyle="Linked Cell"/>
    <tableColumn id="9" xr3:uid="{7DA3505E-BCB1-4C40-A8F5-114685503E2F}" name="Status 75 Percent" dataCellStyle="Linked Cel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C5DB84FB-0778-4EB3-B510-ED6B93A043AE}" name="LengthTable" displayName="LengthTable" ref="B2:J3" totalsRowShown="0">
  <autoFilter ref="B2:J3" xr:uid="{B42C1189-C8DA-494A-B32D-54407D2511B0}"/>
  <tableColumns count="9">
    <tableColumn id="1" xr3:uid="{347ADCA4-A4A7-43F8-90A8-E42B75F987B4}" name="Label" dataCellStyle="Linked Cell"/>
    <tableColumn id="2" xr3:uid="{8621162D-B68D-442A-B600-D7C715BFC3FF}" name="Area" dataCellStyle="Input"/>
    <tableColumn id="3" xr3:uid="{09358988-1619-4787-85F5-528D88F81FA9}" name="Description" dataCellStyle="Input"/>
    <tableColumn id="4" xr3:uid="{9C37FED6-95B1-4A1D-AAD3-5F4D4BE5A753}" name="Total" dataCellStyle="Linked Cell"/>
    <tableColumn id="5" xr3:uid="{222F7D82-EB9A-477E-A9B2-A7890182BFB0}" name="Completed Total"/>
    <tableColumn id="6" xr3:uid="{C682F5E9-1E3B-4C37-9FEB-17B1256D3140}" name="Status Complete" dataCellStyle="Linked Cell"/>
    <tableColumn id="7" xr3:uid="{4471D831-F2D0-4199-8E8E-A9FC7778243B}" name="Status 25 Percent" dataCellStyle="Linked Cell"/>
    <tableColumn id="8" xr3:uid="{31448DB9-F772-46F4-AFD8-1F524AE63EAB}" name="Status 50 Percent" dataCellStyle="Linked Cell"/>
    <tableColumn id="9" xr3:uid="{55778722-B8AF-43CA-AF0F-96169678604D}" name="Status 75 Percent" dataCellStyle="Linked Cell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3B1DA764-E40A-475C-89A8-19D218A4FFF8}" name="Wall_AreaTable" displayName="Wall_AreaTable" ref="B2:J3" totalsRowShown="0">
  <autoFilter ref="B2:J3" xr:uid="{B42C1189-C8DA-494A-B32D-54407D2511B0}"/>
  <tableColumns count="9">
    <tableColumn id="1" xr3:uid="{29D3CE24-00F5-471A-92D8-F1F3704E4C6B}" name="Label" dataCellStyle="Linked Cell"/>
    <tableColumn id="2" xr3:uid="{6BFB82FE-38B1-4E09-9DAC-AC8ED5B90072}" name="Area" dataCellStyle="Input"/>
    <tableColumn id="3" xr3:uid="{830E0FBA-1648-4D67-A881-AECD9AEA3144}" name="Description" dataCellStyle="Input"/>
    <tableColumn id="4" xr3:uid="{0112396F-4ECD-4FC1-A037-AC9CF9123B1F}" name="Total" dataCellStyle="Linked Cell"/>
    <tableColumn id="5" xr3:uid="{C2370FF5-97F5-4756-ACC6-7C7A95DFA805}" name="Completed Total"/>
    <tableColumn id="6" xr3:uid="{ABB999FF-CFC6-41CB-9882-37F8E89D3D30}" name="Status Complete" dataCellStyle="Linked Cell"/>
    <tableColumn id="7" xr3:uid="{ED90B004-0A41-4955-90D8-EBEE14538910}" name="Status 25 Percent" dataCellStyle="Linked Cell"/>
    <tableColumn id="8" xr3:uid="{53000ADD-6A18-4F3F-B348-306675C53DD2}" name="Status 50 Percent" dataCellStyle="Linked Cell"/>
    <tableColumn id="9" xr3:uid="{7C2BF188-F15D-43EA-B8F5-097AEACB7B21}" name="Status 75 Percent" dataCellStyle="Linked Cell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77384A6B-CDDA-4DEF-A797-F2D63D9557AB}" name="AreaTable" displayName="AreaTable" ref="B2:J3" totalsRowShown="0">
  <autoFilter ref="B2:J3" xr:uid="{B42C1189-C8DA-494A-B32D-54407D2511B0}"/>
  <tableColumns count="9">
    <tableColumn id="1" xr3:uid="{6EA08934-E6BD-4959-8BD8-3128CFA192C9}" name="Label" dataCellStyle="Linked Cell"/>
    <tableColumn id="2" xr3:uid="{BA06129D-19B9-4D45-ABFE-40B2859857B1}" name="Area" dataCellStyle="Input"/>
    <tableColumn id="3" xr3:uid="{092961D2-D6E5-4BBD-96A2-566036103753}" name="Description" dataCellStyle="Input"/>
    <tableColumn id="4" xr3:uid="{E9E1B760-EE91-4DF1-BBF6-75A5F9AABD97}" name="Total" dataCellStyle="Linked Cell"/>
    <tableColumn id="5" xr3:uid="{65B9760E-77C9-4134-A4DE-E91B4A665D34}" name="Completed Total"/>
    <tableColumn id="6" xr3:uid="{13C515CC-BD5C-46F7-806F-7A33BACB0E26}" name="Status Complete" dataCellStyle="Linked Cell"/>
    <tableColumn id="7" xr3:uid="{A8F604A1-C219-4452-ACA5-AF22A7DEB31A}" name="Status 25 Percent" dataCellStyle="Linked Cell"/>
    <tableColumn id="8" xr3:uid="{A16C5E48-D737-40C2-9EE7-4DC3FF602756}" name="Status 50 Percent" dataCellStyle="Linked Cell"/>
    <tableColumn id="9" xr3:uid="{2430C8E9-1C8A-4C7E-84F0-186B1C4AB40A}" name="Status 75 Percent" dataCellStyle="Linked Cell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92B004C-F6D8-4BEB-BC78-80B1E422B7F6}" name="VolumeTable" displayName="VolumeTable" ref="B2:J3" totalsRowShown="0">
  <autoFilter ref="B2:J3" xr:uid="{B42C1189-C8DA-494A-B32D-54407D2511B0}"/>
  <tableColumns count="9">
    <tableColumn id="1" xr3:uid="{FA6D8BCE-35AF-49CA-A95C-647F1E8B47AC}" name="Label" dataCellStyle="Linked Cell"/>
    <tableColumn id="2" xr3:uid="{4D80C214-1161-4ECD-8745-B49E3F2C1C19}" name="Area" dataCellStyle="Input"/>
    <tableColumn id="3" xr3:uid="{0FFB65BA-1911-4780-A9E5-59CA42A0734B}" name="Description" dataCellStyle="Input"/>
    <tableColumn id="4" xr3:uid="{7E594623-9AFE-4DDD-B27D-C69016CA9ED1}" name="Total" dataCellStyle="Linked Cell"/>
    <tableColumn id="5" xr3:uid="{3427E25D-D068-4B97-83A1-F57889118876}" name="Completed Total"/>
    <tableColumn id="6" xr3:uid="{A72E70A5-73DC-4B02-874D-EF5B8FB501B5}" name="Status Complete" dataCellStyle="Linked Cell"/>
    <tableColumn id="7" xr3:uid="{4AAE80B7-B8F6-449A-B59A-F75C2747BD0B}" name="Status 25 Percent" dataCellStyle="Linked Cell"/>
    <tableColumn id="8" xr3:uid="{D4AA2297-DD83-4160-869E-7795D9AE8E31}" name="Status 50 Percent" dataCellStyle="Linked Cell"/>
    <tableColumn id="9" xr3:uid="{EF802648-5BA7-4437-8FEF-8B86E59A2283}" name="Status 75 Percent" dataCellStyle="Linked Cell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F296DE2-EFD7-4DB7-847E-DB0C2FCB0AC3}" name="MasonryTable" displayName="MasonryTable" ref="B2:P3" totalsRowShown="0">
  <autoFilter ref="B2:P3" xr:uid="{B42C1189-C8DA-494A-B32D-54407D2511B0}"/>
  <tableColumns count="15">
    <tableColumn id="1" xr3:uid="{440CB9F8-0A0C-43F1-BF8B-770E7DB1CC5A}" name="Label" dataCellStyle="Linked Cell"/>
    <tableColumn id="2" xr3:uid="{F29D05D9-8C05-432E-BBE4-58C6156B2DAE}" name="Area" dataCellStyle="Input"/>
    <tableColumn id="3" xr3:uid="{83CC1B80-5245-4B96-8B94-E305AF0ED663}" name="Description" dataCellStyle="Input"/>
    <tableColumn id="10" xr3:uid="{C39A062F-F1EF-4796-95D8-24DA91E1B6D4}" name="Block Multiplier" dataCellStyle="Input"/>
    <tableColumn id="4" xr3:uid="{4CC3DF74-921B-45AD-9274-041D92920416}" name="BB Total SF" dataCellStyle="Linked Cell"/>
    <tableColumn id="11" xr3:uid="{658DFA2F-EA9B-4257-B0E1-10B94226ABC7}" name="Total"/>
    <tableColumn id="5" xr3:uid="{3F6BDB99-7B3C-4036-901F-F7B4F7C01D5B}" name="Completed Total"/>
    <tableColumn id="6" xr3:uid="{0CF615EA-2901-4304-BF69-AB478CE694EF}" name="Status Complete" dataCellStyle="Linked Cell"/>
    <tableColumn id="7" xr3:uid="{EABFCC4F-9816-49B1-98F4-CBFD8ACC8612}" name="Status 4" dataCellStyle="Linked Cell"/>
    <tableColumn id="8" xr3:uid="{274008AE-D368-47CC-8999-392FF5633797}" name="Status 8" dataCellStyle="Linked Cell"/>
    <tableColumn id="9" xr3:uid="{33C445A8-855F-495B-B795-D6CCEABB6641}" name="Status 12" dataCellStyle="Linked Cell"/>
    <tableColumn id="12" xr3:uid="{01DB0407-C672-454A-8A27-14E4C481B452}" name="Status 16" dataCellStyle="Linked Cell"/>
    <tableColumn id="13" xr3:uid="{39BC644B-288B-4FF6-8D00-E37A81F25D15}" name="Status 20" dataCellStyle="Linked Cell"/>
    <tableColumn id="14" xr3:uid="{3104F2D0-67FE-44D1-ABB1-3C8FF5BA335C}" name="Status 24" dataCellStyle="Linked Cell"/>
    <tableColumn id="15" xr3:uid="{E24815F4-7916-42E2-92BC-51D4577E5388}" name="Status 28" dataCellStyle="Linked Cell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A9EF1B7-D63D-42CC-82E1-D02E26901D99}" name="Holidays_Table" displayName="Holidays_Table" ref="E3:E29" totalsRowShown="0">
  <autoFilter ref="E3:E29" xr:uid="{9E5CA91D-2E0C-42D3-90A8-14527BA94903}"/>
  <tableColumns count="1">
    <tableColumn id="1" xr3:uid="{0A735B84-78F7-4DB5-8997-392D6DDC6E50}" name="Date" dataDxfId="14"/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0C34DDF-7AA8-4476-B894-B2B88FED171E}" name="MeasurementsTable" displayName="MeasurementsTable" ref="B2:B8" totalsRowShown="0" headerRowDxfId="13" dataDxfId="11" headerRowBorderDxfId="12" tableBorderDxfId="10" totalsRowBorderDxfId="9" dataCellStyle="Hyperlink">
  <autoFilter ref="B2:B8" xr:uid="{271E6750-7AAD-4717-A22E-42FE3167AC23}"/>
  <tableColumns count="1">
    <tableColumn id="1" xr3:uid="{EAEF65C8-5A0D-4A2C-8773-2609BF0E3DBA}" name="Measurements" dataDxfId="8" dataCellStyle="Hyperlink"/>
  </tableColumns>
  <tableStyleInfo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482F428-136A-4324-9C8C-4493D1286E72}" name="TradesTable" displayName="TradesTable" ref="D2:F3" totalsRowShown="0" headerRowDxfId="7" dataDxfId="5" headerRowBorderDxfId="6" tableBorderDxfId="4" totalsRowBorderDxfId="3">
  <autoFilter ref="D2:F3" xr:uid="{D00C40E4-B4A8-4635-A28F-2E70A0E0178A}"/>
  <tableColumns count="3">
    <tableColumn id="1" xr3:uid="{FAE95E1F-8E91-4A91-813A-E1DFF07DA1B3}" name="Trade ID" dataDxfId="2" dataCellStyle="Hyperlink"/>
    <tableColumn id="3" xr3:uid="{6CEB8600-7C9F-45FD-A101-72A894BD3229}" name="Trade Name" dataDxfId="1" dataCellStyle="Hyperlink">
      <calculatedColumnFormula>HYPERLINK("#"&amp;TradesTable[[#This Row],[Trade ID]]&amp;"!A1", INDIRECT("'"&amp;TradesTable[[#This Row],[Trade ID]]&amp;"'!C3"))</calculatedColumnFormula>
    </tableColumn>
    <tableColumn id="2" xr3:uid="{BA339C45-E5A0-424F-A303-67A2C317842A}" name="Last Update" dataDxfId="0" dataCellStyle="Hyperlink">
      <calculatedColumnFormula>INDIRECT("'"&amp;TradesTable[[#This Row],[Trade ID]]&amp;"'!C5")</calculatedColumnFormula>
    </tableColumn>
  </tableColumns>
  <tableStyleInfo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912CCF7D-0264-433E-BDF0-42E1B6527D50}" name="AreasTable_0000" displayName="AreasTable_0000" ref="E3:K4" totalsRowShown="0">
  <autoFilter ref="E3:K4" xr:uid="{53CE1309-3488-42DF-9964-F186A5ABEF39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</autoFilter>
  <tableColumns count="7">
    <tableColumn id="1" xr3:uid="{8F00047E-2A18-40A4-9A29-28902EECCBED}" name="MID" dataCellStyle="Input"/>
    <tableColumn id="2" xr3:uid="{BB00B853-47CF-40ED-AE35-4F5A2854B1CA}" name="Area"/>
    <tableColumn id="3" xr3:uid="{490E3BA8-7604-44EB-BDF1-788066748CDF}" name="Description"/>
    <tableColumn id="4" xr3:uid="{58B1617C-7EDF-4588-966B-AD66BA5394D9}" name="Start Date" dataCellStyle="Input"/>
    <tableColumn id="5" xr3:uid="{08794624-E9E5-4B36-8E3C-18896280D293}" name="Finish Date" dataCellStyle="Input"/>
    <tableColumn id="6" xr3:uid="{29B7F529-D77E-4A0E-916A-2E4180623B62}" name="Total"/>
    <tableColumn id="7" xr3:uid="{57288758-C00A-4F5D-9DA6-28458225DED8}" name="Completed Total"/>
  </tableColumns>
  <tableStyleInfo name="TableStyleLight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C24428BD-A794-48F3-8BDC-CFF726ABF7C9}" name="ExportTable_0000" displayName="ExportTable_0000" ref="M3:M4" insertRow="1" totalsRowShown="0">
  <autoFilter ref="M3:M4" xr:uid="{E91115CA-0BA6-4ECC-AF7F-36F1B519716B}"/>
  <tableColumns count="1">
    <tableColumn id="1" xr3:uid="{66A04C66-C546-48FB-A3E8-DD6DE44AD643}" name="Column1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1.xml"/><Relationship Id="rId2" Type="http://schemas.openxmlformats.org/officeDocument/2006/relationships/table" Target="../tables/table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3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496465-4F8E-4664-AB3E-66BD3F2DA410}">
  <sheetPr codeName="Sheet4">
    <tabColor theme="5" tint="0.79998168889431442"/>
  </sheetPr>
  <dimension ref="B1:R18"/>
  <sheetViews>
    <sheetView workbookViewId="0">
      <selection activeCell="F17" sqref="F17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11.28515625" customWidth="1"/>
    <col min="7" max="7" width="22.5703125" customWidth="1"/>
    <col min="8" max="8" width="11.85546875" customWidth="1"/>
    <col min="9" max="9" width="12" customWidth="1"/>
    <col min="10" max="10" width="14.28515625" customWidth="1"/>
    <col min="11" max="11" width="16.7109375" customWidth="1"/>
    <col min="12" max="12" width="2.85546875" customWidth="1"/>
    <col min="13" max="13" width="11" customWidth="1"/>
  </cols>
  <sheetData>
    <row r="1" spans="2:18" x14ac:dyDescent="0.25">
      <c r="B1" s="18" t="str">
        <f>HYPERLINK("#Index!A1", "Back to Index")</f>
        <v>Back to Index</v>
      </c>
    </row>
    <row r="2" spans="2:18" ht="18.75" x14ac:dyDescent="0.25">
      <c r="B2" s="23" t="s">
        <v>28</v>
      </c>
      <c r="C2" s="23"/>
      <c r="E2" s="24" t="s">
        <v>27</v>
      </c>
      <c r="F2" s="25"/>
      <c r="G2" s="25"/>
      <c r="H2" s="25"/>
      <c r="I2" s="25"/>
      <c r="J2" s="25"/>
      <c r="K2" s="26"/>
      <c r="M2" s="27" t="s">
        <v>25</v>
      </c>
      <c r="N2" s="28"/>
      <c r="O2" s="28"/>
      <c r="P2" s="28"/>
      <c r="Q2" s="28"/>
      <c r="R2" s="28"/>
    </row>
    <row r="3" spans="2:18" x14ac:dyDescent="0.25">
      <c r="B3" t="s">
        <v>30</v>
      </c>
      <c r="C3" s="10" t="s">
        <v>39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40</v>
      </c>
      <c r="E4" s="10"/>
      <c r="F4" s="8" t="str">
        <f ca="1">IF(Measurements_Lookup(AreasTable_Template[[#This Row],[MID]],AreasTable_Template[[#Headers],[Area]])="", "", Measurements_Lookup(AreasTable_Template[[#This Row],[MID]],AreasTable_Template[[#Headers],[Area]]))</f>
        <v/>
      </c>
      <c r="G4" s="8" t="str">
        <f ca="1">IF(Measurements_Lookup(AreasTable_Template[[#This Row],[MID]],AreasTable_Template[[#Headers],[Description]])="", "", Measurements_Lookup(AreasTable_Template[[#This Row],[MID]],AreasTable_Template[[#Headers],[Description]]))</f>
        <v/>
      </c>
      <c r="H4" s="10"/>
      <c r="I4" s="10"/>
      <c r="J4" s="8" t="str">
        <f ca="1">IF(Measurements_Lookup(AreasTable_Template[[#This Row],[MID]],AreasTable_Template[[#Headers],[Total]])="", "", Measurements_Lookup(AreasTable_Template[[#This Row],[MID]],AreasTable_Template[[#Headers],[Total]]))</f>
        <v/>
      </c>
      <c r="K4" s="9" t="str">
        <f ca="1">IF(Measurements_Lookup(AreasTable_Template[[#This Row],[MID]],AreasTable_Template[[#Headers],[Completed Total]])="", "", Measurements_Lookup(AreasTable_Template[[#This Row],[MID]],AreasTable_Template[[#Headers],[Completed Total]]))</f>
        <v/>
      </c>
    </row>
    <row r="5" spans="2:18" x14ac:dyDescent="0.25">
      <c r="B5" t="s">
        <v>32</v>
      </c>
      <c r="C5" s="14"/>
    </row>
    <row r="6" spans="2:18" x14ac:dyDescent="0.25">
      <c r="B6" t="s">
        <v>45</v>
      </c>
      <c r="C6" s="10"/>
    </row>
    <row r="10" spans="2:18" x14ac:dyDescent="0.25">
      <c r="B10" s="23" t="s">
        <v>18</v>
      </c>
      <c r="C10" s="23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10:C10"/>
    <mergeCell ref="E2:K2"/>
    <mergeCell ref="M2:R2"/>
    <mergeCell ref="B2:C2"/>
  </mergeCells>
  <dataValidations disablePrompts="1" count="2">
    <dataValidation type="list" showInputMessage="1" showErrorMessage="1" sqref="C11:C17" xr:uid="{3FB713E3-B42F-46D6-93A7-AE0BFEF23953}">
      <formula1>"NO,YES"</formula1>
    </dataValidation>
    <dataValidation type="date" operator="greaterThan" allowBlank="1" showInputMessage="1" showErrorMessage="1" sqref="C18" xr:uid="{7FDD3159-F6D3-4B61-9D1A-C97CBCFAF139}">
      <formula1>1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4CE68-150D-4C5B-8E7A-132A66F7D427}">
  <sheetPr codeName="Sheet5">
    <tabColor theme="0" tint="-0.249977111117893"/>
  </sheetPr>
  <dimension ref="B1:J4"/>
  <sheetViews>
    <sheetView workbookViewId="0">
      <selection activeCell="F14" sqref="F14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4.8554687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Count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A43CF-57AB-4233-B365-73E8C56C0B0F}">
  <sheetPr codeName="Sheet12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Length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662BA-2DF2-4D7C-91AC-93D8EA7A460F}">
  <sheetPr codeName="Sheet13">
    <tabColor theme="0" tint="-0.249977111117893"/>
  </sheetPr>
  <dimension ref="B1:J4"/>
  <sheetViews>
    <sheetView workbookViewId="0">
      <selection activeCell="F3" sqref="F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Wall 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9FEFFF-25C9-4DA6-A511-467168052D01}">
  <sheetPr codeName="Sheet14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Area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76009B-925E-45C9-AAFA-6483F5E27F8B}">
  <sheetPr codeName="Sheet15">
    <tabColor theme="0" tint="-0.249977111117893"/>
  </sheetPr>
  <dimension ref="B1:J4"/>
  <sheetViews>
    <sheetView workbookViewId="0">
      <selection activeCell="E3" sqref="E3"/>
    </sheetView>
  </sheetViews>
  <sheetFormatPr defaultRowHeight="15" x14ac:dyDescent="0.25"/>
  <cols>
    <col min="1" max="1" width="2.85546875" customWidth="1"/>
    <col min="2" max="2" width="10.7109375" bestFit="1" customWidth="1"/>
    <col min="3" max="3" width="7.42578125" bestFit="1" customWidth="1"/>
    <col min="4" max="4" width="13.42578125" bestFit="1" customWidth="1"/>
    <col min="5" max="5" width="10.42578125" bestFit="1" customWidth="1"/>
    <col min="6" max="6" width="18.140625" bestFit="1" customWidth="1"/>
    <col min="7" max="7" width="18" bestFit="1" customWidth="1"/>
    <col min="8" max="10" width="18.5703125" bestFit="1" customWidth="1"/>
  </cols>
  <sheetData>
    <row r="1" spans="2:10" ht="36" x14ac:dyDescent="0.55000000000000004">
      <c r="B1" s="20" t="str">
        <f ca="1">MID(CELL("filename",A1),FIND("]",CELL("filename",A1))+1,256)</f>
        <v>Volume</v>
      </c>
    </row>
    <row r="2" spans="2:10" x14ac:dyDescent="0.25">
      <c r="B2" t="s">
        <v>59</v>
      </c>
      <c r="C2" t="s">
        <v>22</v>
      </c>
      <c r="D2" t="s">
        <v>19</v>
      </c>
      <c r="E2" t="s">
        <v>23</v>
      </c>
      <c r="F2" t="s">
        <v>24</v>
      </c>
      <c r="G2" t="s">
        <v>46</v>
      </c>
      <c r="H2" t="s">
        <v>47</v>
      </c>
      <c r="I2" t="s">
        <v>48</v>
      </c>
      <c r="J2" t="s">
        <v>49</v>
      </c>
    </row>
    <row r="3" spans="2:10" ht="15.75" thickBot="1" x14ac:dyDescent="0.3">
      <c r="B3" s="21"/>
      <c r="C3" s="10"/>
      <c r="D3" s="10"/>
      <c r="E3" s="21"/>
      <c r="G3" s="21"/>
      <c r="H3" s="21"/>
      <c r="I3" s="21"/>
      <c r="J3" s="21"/>
    </row>
    <row r="4" spans="2:10" ht="15.75" thickTop="1" x14ac:dyDescent="0.25"/>
  </sheetData>
  <pageMargins left="0.7" right="0.7" top="0.75" bottom="0.75" header="0.3" footer="0.3"/>
  <pageSetup orientation="portrait" horizontalDpi="0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9C5AD5-7057-4EA0-9EB3-16A96705973B}">
  <sheetPr codeName="Sheet16">
    <tabColor theme="0" tint="-0.249977111117893"/>
  </sheetPr>
  <dimension ref="B1:P4"/>
  <sheetViews>
    <sheetView workbookViewId="0">
      <selection activeCell="G21" sqref="G21"/>
    </sheetView>
  </sheetViews>
  <sheetFormatPr defaultRowHeight="15" x14ac:dyDescent="0.25"/>
  <cols>
    <col min="1" max="1" width="2.85546875" customWidth="1"/>
    <col min="2" max="2" width="10.7109375" bestFit="1" customWidth="1"/>
    <col min="3" max="3" width="14.42578125" customWidth="1"/>
    <col min="4" max="4" width="13.42578125" bestFit="1" customWidth="1"/>
    <col min="5" max="5" width="17.5703125" bestFit="1" customWidth="1"/>
    <col min="6" max="6" width="18.140625" bestFit="1" customWidth="1"/>
    <col min="7" max="7" width="18" bestFit="1" customWidth="1"/>
    <col min="8" max="8" width="18.5703125" bestFit="1" customWidth="1"/>
    <col min="9" max="9" width="20.85546875" customWidth="1"/>
    <col min="10" max="11" width="10.140625" bestFit="1" customWidth="1"/>
    <col min="12" max="16" width="11.140625" bestFit="1" customWidth="1"/>
  </cols>
  <sheetData>
    <row r="1" spans="2:16" ht="36" x14ac:dyDescent="0.55000000000000004">
      <c r="B1" s="20" t="str">
        <f ca="1">MID(CELL("filename",A1),FIND("]",CELL("filename",A1))+1,256)</f>
        <v>Masonry</v>
      </c>
    </row>
    <row r="2" spans="2:16" x14ac:dyDescent="0.25">
      <c r="B2" t="s">
        <v>59</v>
      </c>
      <c r="C2" t="s">
        <v>22</v>
      </c>
      <c r="D2" t="s">
        <v>19</v>
      </c>
      <c r="E2" t="s">
        <v>50</v>
      </c>
      <c r="F2" t="s">
        <v>53</v>
      </c>
      <c r="G2" t="s">
        <v>23</v>
      </c>
      <c r="H2" t="s">
        <v>24</v>
      </c>
      <c r="I2" t="s">
        <v>46</v>
      </c>
      <c r="J2" t="s">
        <v>51</v>
      </c>
      <c r="K2" t="s">
        <v>52</v>
      </c>
      <c r="L2" t="s">
        <v>54</v>
      </c>
      <c r="M2" t="s">
        <v>55</v>
      </c>
      <c r="N2" t="s">
        <v>56</v>
      </c>
      <c r="O2" t="s">
        <v>57</v>
      </c>
      <c r="P2" t="s">
        <v>58</v>
      </c>
    </row>
    <row r="3" spans="2:16" ht="15.75" thickBot="1" x14ac:dyDescent="0.3">
      <c r="B3" s="21"/>
      <c r="C3" s="10"/>
      <c r="D3" s="10"/>
      <c r="E3" s="10"/>
      <c r="F3" s="21"/>
      <c r="I3" s="21"/>
      <c r="J3" s="21"/>
      <c r="K3" s="21"/>
      <c r="L3" s="21"/>
      <c r="M3" s="21"/>
      <c r="N3" s="21"/>
      <c r="O3" s="21"/>
      <c r="P3" s="21"/>
    </row>
    <row r="4" spans="2:16" ht="15.75" thickTop="1" x14ac:dyDescent="0.25"/>
  </sheetData>
  <pageMargins left="0.7" right="0.7" top="0.75" bottom="0.75" header="0.3" footer="0.3"/>
  <pageSetup orientation="portrait" horizontalDpi="0" verticalDpi="0" r:id="rId1"/>
  <legacy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A1D45B-BC40-4004-97AB-C1AD9D1D514A}">
  <sheetPr codeName="Sheet3">
    <tabColor theme="4" tint="0.39997558519241921"/>
  </sheetPr>
  <dimension ref="B2:E29"/>
  <sheetViews>
    <sheetView showGridLines="0" workbookViewId="0">
      <selection activeCell="E37" sqref="E37"/>
    </sheetView>
  </sheetViews>
  <sheetFormatPr defaultRowHeight="15" x14ac:dyDescent="0.25"/>
  <cols>
    <col min="1" max="1" width="2.85546875" customWidth="1"/>
    <col min="2" max="2" width="24.28515625" bestFit="1" customWidth="1"/>
    <col min="3" max="3" width="31" customWidth="1"/>
    <col min="4" max="4" width="2.85546875" customWidth="1"/>
    <col min="5" max="5" width="23.28515625" customWidth="1"/>
  </cols>
  <sheetData>
    <row r="2" spans="2:5" ht="28.5" customHeight="1" x14ac:dyDescent="0.25">
      <c r="B2" s="29" t="s">
        <v>0</v>
      </c>
      <c r="C2" s="29"/>
      <c r="E2" s="3" t="s">
        <v>15</v>
      </c>
    </row>
    <row r="3" spans="2:5" ht="15" customHeight="1" x14ac:dyDescent="0.25">
      <c r="B3" s="1" t="s">
        <v>1</v>
      </c>
      <c r="C3" s="2"/>
      <c r="E3" t="s">
        <v>16</v>
      </c>
    </row>
    <row r="4" spans="2:5" x14ac:dyDescent="0.25">
      <c r="B4" s="1" t="s">
        <v>2</v>
      </c>
      <c r="C4" s="2"/>
      <c r="E4" s="4">
        <v>43576</v>
      </c>
    </row>
    <row r="5" spans="2:5" x14ac:dyDescent="0.25">
      <c r="B5" s="1" t="s">
        <v>3</v>
      </c>
      <c r="C5" s="2"/>
      <c r="E5" s="4">
        <v>43590</v>
      </c>
    </row>
    <row r="6" spans="2:5" x14ac:dyDescent="0.25">
      <c r="B6" s="1" t="s">
        <v>4</v>
      </c>
      <c r="C6" s="2"/>
      <c r="E6" s="4">
        <v>43612</v>
      </c>
    </row>
    <row r="7" spans="2:5" x14ac:dyDescent="0.25">
      <c r="B7" s="1" t="s">
        <v>5</v>
      </c>
      <c r="C7" s="2"/>
      <c r="E7" s="4">
        <v>43650</v>
      </c>
    </row>
    <row r="8" spans="2:5" x14ac:dyDescent="0.25">
      <c r="B8" s="1" t="s">
        <v>6</v>
      </c>
      <c r="C8" s="2"/>
      <c r="E8" s="4">
        <v>43710</v>
      </c>
    </row>
    <row r="9" spans="2:5" x14ac:dyDescent="0.25">
      <c r="E9" s="4">
        <v>43780</v>
      </c>
    </row>
    <row r="10" spans="2:5" ht="23.25" x14ac:dyDescent="0.25">
      <c r="B10" s="29" t="s">
        <v>7</v>
      </c>
      <c r="C10" s="29"/>
      <c r="E10" s="4">
        <v>43797</v>
      </c>
    </row>
    <row r="11" spans="2:5" x14ac:dyDescent="0.25">
      <c r="B11" s="1" t="s">
        <v>8</v>
      </c>
      <c r="C11" s="2" t="s">
        <v>33</v>
      </c>
      <c r="E11" s="4">
        <v>43798</v>
      </c>
    </row>
    <row r="12" spans="2:5" x14ac:dyDescent="0.25">
      <c r="B12" s="1" t="s">
        <v>9</v>
      </c>
      <c r="C12" s="2" t="s">
        <v>34</v>
      </c>
      <c r="E12" s="4">
        <v>43823</v>
      </c>
    </row>
    <row r="13" spans="2:5" x14ac:dyDescent="0.25">
      <c r="B13" s="1" t="s">
        <v>10</v>
      </c>
      <c r="C13" s="2" t="s">
        <v>34</v>
      </c>
      <c r="E13" s="4">
        <v>43824</v>
      </c>
    </row>
    <row r="14" spans="2:5" x14ac:dyDescent="0.25">
      <c r="B14" s="1" t="s">
        <v>11</v>
      </c>
      <c r="C14" s="2" t="s">
        <v>34</v>
      </c>
      <c r="E14" s="4">
        <v>43825</v>
      </c>
    </row>
    <row r="15" spans="2:5" x14ac:dyDescent="0.25">
      <c r="B15" s="1" t="s">
        <v>12</v>
      </c>
      <c r="C15" s="2" t="s">
        <v>34</v>
      </c>
      <c r="E15" s="4">
        <v>43830</v>
      </c>
    </row>
    <row r="16" spans="2:5" x14ac:dyDescent="0.25">
      <c r="B16" s="1" t="s">
        <v>13</v>
      </c>
      <c r="C16" s="2" t="s">
        <v>34</v>
      </c>
      <c r="E16" s="4">
        <v>43831</v>
      </c>
    </row>
    <row r="17" spans="2:5" x14ac:dyDescent="0.25">
      <c r="B17" s="1" t="s">
        <v>14</v>
      </c>
      <c r="C17" s="2" t="s">
        <v>33</v>
      </c>
      <c r="E17" s="4">
        <v>43933</v>
      </c>
    </row>
    <row r="18" spans="2:5" x14ac:dyDescent="0.25">
      <c r="B18" s="1" t="s">
        <v>17</v>
      </c>
      <c r="C18" s="13">
        <v>43466</v>
      </c>
      <c r="E18" s="4">
        <v>43956</v>
      </c>
    </row>
    <row r="19" spans="2:5" x14ac:dyDescent="0.25">
      <c r="E19" s="4">
        <v>43976</v>
      </c>
    </row>
    <row r="20" spans="2:5" x14ac:dyDescent="0.25">
      <c r="E20" s="4">
        <v>44016</v>
      </c>
    </row>
    <row r="21" spans="2:5" ht="23.25" x14ac:dyDescent="0.25">
      <c r="B21" s="29" t="s">
        <v>42</v>
      </c>
      <c r="C21" s="29"/>
      <c r="E21" s="4">
        <v>44081</v>
      </c>
    </row>
    <row r="22" spans="2:5" x14ac:dyDescent="0.25">
      <c r="B22" s="1" t="s">
        <v>43</v>
      </c>
      <c r="C22" s="19" t="b">
        <v>1</v>
      </c>
      <c r="E22" s="4">
        <v>44146</v>
      </c>
    </row>
    <row r="23" spans="2:5" x14ac:dyDescent="0.25">
      <c r="B23" s="1" t="s">
        <v>44</v>
      </c>
      <c r="C23" s="19" t="b">
        <v>1</v>
      </c>
      <c r="E23" s="4">
        <v>44161</v>
      </c>
    </row>
    <row r="24" spans="2:5" x14ac:dyDescent="0.25">
      <c r="E24" s="4">
        <v>44162</v>
      </c>
    </row>
    <row r="25" spans="2:5" x14ac:dyDescent="0.25">
      <c r="E25" s="4">
        <v>44189</v>
      </c>
    </row>
    <row r="26" spans="2:5" x14ac:dyDescent="0.25">
      <c r="E26" s="4">
        <v>44190</v>
      </c>
    </row>
    <row r="27" spans="2:5" x14ac:dyDescent="0.25">
      <c r="E27" s="4">
        <v>44196</v>
      </c>
    </row>
    <row r="28" spans="2:5" x14ac:dyDescent="0.25">
      <c r="E28" s="4">
        <v>44197</v>
      </c>
    </row>
    <row r="29" spans="2:5" x14ac:dyDescent="0.25">
      <c r="E29" s="4">
        <v>44290</v>
      </c>
    </row>
  </sheetData>
  <mergeCells count="3">
    <mergeCell ref="B2:C2"/>
    <mergeCell ref="B10:C10"/>
    <mergeCell ref="B21:C21"/>
  </mergeCells>
  <dataValidations count="1">
    <dataValidation type="list" showInputMessage="1" showErrorMessage="1" sqref="C22:C23" xr:uid="{AA3F715B-F4B6-4CFE-B0FE-3BFDCEBDD4C7}">
      <formula1>"TRUE,FALSE"</formula1>
    </dataValidation>
  </dataValidations>
  <pageMargins left="0.7" right="0.7" top="0.75" bottom="0.75" header="0.3" footer="0.3"/>
  <pageSetup paperSize="256" orientation="portrait" horizontalDpi="1200" verticalDpi="1200"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6AB93-6874-4502-B9DD-37581EA81046}">
  <sheetPr codeName="Sheet2">
    <tabColor theme="4" tint="0.39997558519241921"/>
  </sheetPr>
  <dimension ref="A1:N26"/>
  <sheetViews>
    <sheetView showGridLines="0" workbookViewId="0">
      <selection activeCell="G22" sqref="G22"/>
    </sheetView>
  </sheetViews>
  <sheetFormatPr defaultRowHeight="15" x14ac:dyDescent="0.25"/>
  <cols>
    <col min="1" max="1" width="2.85546875" customWidth="1"/>
    <col min="2" max="2" width="23.140625" bestFit="1" customWidth="1"/>
    <col min="3" max="3" width="2.85546875" customWidth="1"/>
    <col min="4" max="4" width="17.140625" customWidth="1"/>
    <col min="5" max="5" width="25.5703125" customWidth="1"/>
    <col min="6" max="6" width="16.7109375" bestFit="1" customWidth="1"/>
  </cols>
  <sheetData>
    <row r="1" spans="1:14" x14ac:dyDescent="0.25">
      <c r="A1" s="6"/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</row>
    <row r="2" spans="1:14" ht="15.75" x14ac:dyDescent="0.25">
      <c r="A2" s="6"/>
      <c r="B2" s="11" t="s">
        <v>31</v>
      </c>
      <c r="C2" s="6"/>
      <c r="D2" s="11" t="s">
        <v>35</v>
      </c>
      <c r="E2" s="11" t="s">
        <v>30</v>
      </c>
      <c r="F2" s="11" t="s">
        <v>32</v>
      </c>
      <c r="G2" s="6"/>
      <c r="H2" s="6"/>
      <c r="I2" s="6"/>
      <c r="J2" s="6"/>
      <c r="K2" s="6"/>
      <c r="L2" s="6"/>
      <c r="M2" s="6"/>
      <c r="N2" s="6"/>
    </row>
    <row r="3" spans="1:14" ht="15" customHeight="1" x14ac:dyDescent="0.25">
      <c r="A3" s="6"/>
      <c r="B3" s="12" t="str">
        <f>HYPERLINK("#Count!A1", "Count")</f>
        <v>Count</v>
      </c>
      <c r="C3" s="6"/>
      <c r="D3" s="22" t="s">
        <v>37</v>
      </c>
      <c r="E3" s="16" t="str">
        <f ca="1">HYPERLINK("#"&amp;TradesTable[[#This Row],[Trade ID]]&amp;"!A1", INDIRECT("'"&amp;TradesTable[[#This Row],[Trade ID]]&amp;"'!C3"))</f>
        <v>Example Trade</v>
      </c>
      <c r="F3" s="15">
        <f ca="1">INDIRECT("'"&amp;TradesTable[[#This Row],[Trade ID]]&amp;"'!C5")</f>
        <v>0</v>
      </c>
      <c r="G3" s="17"/>
      <c r="H3" s="6"/>
    </row>
    <row r="4" spans="1:14" ht="15.75" x14ac:dyDescent="0.25">
      <c r="A4" s="6"/>
      <c r="B4" s="12" t="str">
        <f>HYPERLINK("#Length!A1", "Length")</f>
        <v>Length</v>
      </c>
    </row>
    <row r="5" spans="1:14" ht="15.75" x14ac:dyDescent="0.25">
      <c r="A5" s="6"/>
      <c r="B5" s="12" t="str">
        <f>HYPERLINK("#'Wall Area'!A1", "Wall Area")</f>
        <v>Wall Area</v>
      </c>
    </row>
    <row r="6" spans="1:14" ht="15.75" x14ac:dyDescent="0.25">
      <c r="A6" s="6"/>
      <c r="B6" s="12" t="str">
        <f>HYPERLINK("#Area!A1", "Area")</f>
        <v>Area</v>
      </c>
    </row>
    <row r="7" spans="1:14" ht="15.75" x14ac:dyDescent="0.25">
      <c r="A7" s="6"/>
      <c r="B7" s="12" t="str">
        <f>HYPERLINK("#Volume!A1", "Volume")</f>
        <v>Volume</v>
      </c>
    </row>
    <row r="8" spans="1:14" ht="15.75" x14ac:dyDescent="0.25">
      <c r="A8" s="6"/>
      <c r="B8" s="12" t="str">
        <f>HYPERLINK("#Masonry!A1", "Masonry")</f>
        <v>Masonry</v>
      </c>
    </row>
    <row r="9" spans="1:14" x14ac:dyDescent="0.25">
      <c r="A9" s="6"/>
      <c r="B9" s="6"/>
    </row>
    <row r="10" spans="1:14" x14ac:dyDescent="0.25">
      <c r="A10" s="6"/>
      <c r="B10" s="6"/>
    </row>
    <row r="11" spans="1:14" x14ac:dyDescent="0.25">
      <c r="A11" s="6"/>
      <c r="B11" s="6"/>
    </row>
    <row r="12" spans="1:14" x14ac:dyDescent="0.25">
      <c r="A12" s="6"/>
      <c r="B12" s="6"/>
    </row>
    <row r="13" spans="1:14" x14ac:dyDescent="0.25">
      <c r="A13" s="6"/>
      <c r="B13" s="6"/>
    </row>
    <row r="14" spans="1:14" x14ac:dyDescent="0.25">
      <c r="A14" s="6"/>
      <c r="B14" s="6"/>
    </row>
    <row r="15" spans="1:14" x14ac:dyDescent="0.25">
      <c r="A15" s="6"/>
      <c r="B15" s="6"/>
    </row>
    <row r="16" spans="1:14" x14ac:dyDescent="0.25">
      <c r="A16" s="6"/>
      <c r="B16" s="6"/>
      <c r="C16" s="6"/>
    </row>
    <row r="17" spans="1:3" x14ac:dyDescent="0.25">
      <c r="A17" s="6"/>
      <c r="B17" s="6"/>
      <c r="C17" s="6"/>
    </row>
    <row r="18" spans="1:3" x14ac:dyDescent="0.25">
      <c r="A18" s="6"/>
      <c r="B18" s="6"/>
      <c r="C18" s="6"/>
    </row>
    <row r="19" spans="1:3" x14ac:dyDescent="0.25">
      <c r="A19" s="6"/>
      <c r="B19" s="6"/>
      <c r="C19" s="6"/>
    </row>
    <row r="20" spans="1:3" x14ac:dyDescent="0.25">
      <c r="A20" s="6"/>
      <c r="B20" s="6"/>
      <c r="C20" s="6"/>
    </row>
    <row r="21" spans="1:3" x14ac:dyDescent="0.25">
      <c r="A21" s="6"/>
      <c r="B21" s="6"/>
      <c r="C21" s="6"/>
    </row>
    <row r="22" spans="1:3" x14ac:dyDescent="0.25">
      <c r="A22" s="6"/>
      <c r="B22" s="6"/>
      <c r="C22" s="6"/>
    </row>
    <row r="23" spans="1:3" x14ac:dyDescent="0.25">
      <c r="A23" s="6"/>
      <c r="B23" s="6"/>
      <c r="C23" s="6"/>
    </row>
    <row r="24" spans="1:3" x14ac:dyDescent="0.25">
      <c r="A24" s="6"/>
      <c r="B24" s="6"/>
      <c r="C24" s="6"/>
    </row>
    <row r="25" spans="1:3" x14ac:dyDescent="0.25">
      <c r="A25" s="6"/>
      <c r="B25" s="6"/>
      <c r="C25" s="6"/>
    </row>
    <row r="26" spans="1:3" x14ac:dyDescent="0.25">
      <c r="A26" s="6"/>
      <c r="C26" s="6"/>
    </row>
  </sheetData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6FC45-DB6C-469A-BC33-CE7A828A1444}">
  <sheetPr codeName="Sheet11">
    <tabColor theme="5" tint="0.79998168889431442"/>
  </sheetPr>
  <dimension ref="B1:R18"/>
  <sheetViews>
    <sheetView tabSelected="1" workbookViewId="0">
      <selection activeCell="I19" sqref="I19"/>
    </sheetView>
  </sheetViews>
  <sheetFormatPr defaultRowHeight="15" x14ac:dyDescent="0.25"/>
  <cols>
    <col min="1" max="1" width="2.85546875" customWidth="1"/>
    <col min="2" max="2" width="17.85546875" bestFit="1" customWidth="1"/>
    <col min="3" max="3" width="18.7109375" customWidth="1"/>
    <col min="4" max="4" width="2.85546875" customWidth="1"/>
    <col min="5" max="5" width="9.28515625" customWidth="1"/>
    <col min="6" max="6" width="8" customWidth="1"/>
    <col min="7" max="7" width="13.28515625" customWidth="1"/>
    <col min="8" max="8" width="11.85546875" customWidth="1"/>
    <col min="9" max="9" width="13" customWidth="1"/>
    <col min="11" max="11" width="17.85546875" customWidth="1"/>
    <col min="12" max="12" width="2.85546875" customWidth="1"/>
    <col min="13" max="13" width="11" customWidth="1"/>
  </cols>
  <sheetData>
    <row r="1" spans="2:18" x14ac:dyDescent="0.25">
      <c r="B1" s="18" t="str">
        <f>HYPERLINK("#Index!A1", "Back to Index")</f>
        <v>Back to Index</v>
      </c>
    </row>
    <row r="2" spans="2:18" ht="18.75" x14ac:dyDescent="0.25">
      <c r="B2" s="23" t="s">
        <v>28</v>
      </c>
      <c r="C2" s="23"/>
      <c r="E2" s="24" t="s">
        <v>27</v>
      </c>
      <c r="F2" s="25"/>
      <c r="G2" s="25"/>
      <c r="H2" s="25"/>
      <c r="I2" s="25"/>
      <c r="J2" s="25"/>
      <c r="K2" s="26"/>
      <c r="M2" s="27" t="s">
        <v>60</v>
      </c>
      <c r="N2" s="28"/>
      <c r="O2" s="28"/>
      <c r="P2" s="28"/>
      <c r="Q2" s="28"/>
      <c r="R2" s="28"/>
    </row>
    <row r="3" spans="2:18" x14ac:dyDescent="0.25">
      <c r="B3" t="s">
        <v>30</v>
      </c>
      <c r="C3" s="10" t="s">
        <v>38</v>
      </c>
      <c r="E3" s="5" t="s">
        <v>41</v>
      </c>
      <c r="F3" s="6" t="s">
        <v>22</v>
      </c>
      <c r="G3" s="6" t="s">
        <v>19</v>
      </c>
      <c r="H3" s="6" t="s">
        <v>20</v>
      </c>
      <c r="I3" s="6" t="s">
        <v>21</v>
      </c>
      <c r="J3" s="6" t="s">
        <v>23</v>
      </c>
      <c r="K3" s="7" t="s">
        <v>24</v>
      </c>
      <c r="M3" t="s">
        <v>26</v>
      </c>
    </row>
    <row r="4" spans="2:18" x14ac:dyDescent="0.25">
      <c r="B4" t="s">
        <v>29</v>
      </c>
      <c r="C4" s="10" t="s">
        <v>36</v>
      </c>
      <c r="E4" s="10"/>
      <c r="F4" s="8"/>
      <c r="G4" s="8"/>
      <c r="H4" s="10"/>
      <c r="I4" s="10"/>
      <c r="J4" s="8"/>
      <c r="K4" s="9"/>
    </row>
    <row r="5" spans="2:18" x14ac:dyDescent="0.25">
      <c r="B5" t="s">
        <v>32</v>
      </c>
      <c r="C5" s="14"/>
    </row>
    <row r="6" spans="2:18" x14ac:dyDescent="0.25">
      <c r="B6" t="s">
        <v>45</v>
      </c>
      <c r="C6" s="10"/>
    </row>
    <row r="10" spans="2:18" x14ac:dyDescent="0.25">
      <c r="B10" s="23" t="s">
        <v>18</v>
      </c>
      <c r="C10" s="23"/>
    </row>
    <row r="11" spans="2:18" x14ac:dyDescent="0.25">
      <c r="B11" s="1" t="s">
        <v>8</v>
      </c>
      <c r="C11" s="2" t="str">
        <f>Works_Sunday</f>
        <v>NO</v>
      </c>
    </row>
    <row r="12" spans="2:18" x14ac:dyDescent="0.25">
      <c r="B12" s="1" t="s">
        <v>9</v>
      </c>
      <c r="C12" s="2" t="str">
        <f>Works_Monday</f>
        <v>YES</v>
      </c>
    </row>
    <row r="13" spans="2:18" x14ac:dyDescent="0.25">
      <c r="B13" s="1" t="s">
        <v>10</v>
      </c>
      <c r="C13" s="2" t="str">
        <f>Works_Tuesday</f>
        <v>YES</v>
      </c>
    </row>
    <row r="14" spans="2:18" x14ac:dyDescent="0.25">
      <c r="B14" s="1" t="s">
        <v>11</v>
      </c>
      <c r="C14" s="2" t="str">
        <f>Works_Wednesday</f>
        <v>YES</v>
      </c>
    </row>
    <row r="15" spans="2:18" x14ac:dyDescent="0.25">
      <c r="B15" s="1" t="s">
        <v>12</v>
      </c>
      <c r="C15" s="2" t="str">
        <f>Works_Thrusday</f>
        <v>YES</v>
      </c>
    </row>
    <row r="16" spans="2:18" x14ac:dyDescent="0.25">
      <c r="B16" s="1" t="s">
        <v>13</v>
      </c>
      <c r="C16" s="2" t="str">
        <f>Works_Friday</f>
        <v>YES</v>
      </c>
    </row>
    <row r="17" spans="2:3" x14ac:dyDescent="0.25">
      <c r="B17" s="1" t="s">
        <v>14</v>
      </c>
      <c r="C17" s="2" t="str">
        <f>Works_Saturday</f>
        <v>NO</v>
      </c>
    </row>
    <row r="18" spans="2:3" x14ac:dyDescent="0.25">
      <c r="B18" s="1" t="s">
        <v>17</v>
      </c>
      <c r="C18" s="13">
        <f>Schedule_Run_Date</f>
        <v>43466</v>
      </c>
    </row>
  </sheetData>
  <mergeCells count="4">
    <mergeCell ref="B2:C2"/>
    <mergeCell ref="E2:K2"/>
    <mergeCell ref="M2:R2"/>
    <mergeCell ref="B10:C10"/>
  </mergeCells>
  <dataValidations count="2">
    <dataValidation type="date" operator="greaterThan" allowBlank="1" showInputMessage="1" showErrorMessage="1" sqref="C18" xr:uid="{81D34299-DA28-4120-9079-257FC7CDCD61}">
      <formula1>1</formula1>
    </dataValidation>
    <dataValidation type="list" showInputMessage="1" showErrorMessage="1" sqref="C11:C17" xr:uid="{7A68DEEA-1A5A-4E24-8A9C-C8C37F8C90E5}">
      <formula1>"NO,YES"</formula1>
    </dataValidation>
  </dataValidations>
  <pageMargins left="0.7" right="0.7" top="0.75" bottom="0.75" header="0.3" footer="0.3"/>
  <pageSetup paperSize="256" orientation="portrait" horizontalDpi="1200" verticalDpi="1200" r:id="rId1"/>
  <tableParts count="2">
    <tablePart r:id="rId2"/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10</vt:i4>
      </vt:variant>
    </vt:vector>
  </HeadingPairs>
  <TitlesOfParts>
    <vt:vector size="20" baseType="lpstr">
      <vt:lpstr>Template</vt:lpstr>
      <vt:lpstr>Count</vt:lpstr>
      <vt:lpstr>Length</vt:lpstr>
      <vt:lpstr>Wall Area</vt:lpstr>
      <vt:lpstr>Area</vt:lpstr>
      <vt:lpstr>Volume</vt:lpstr>
      <vt:lpstr>Masonry</vt:lpstr>
      <vt:lpstr>Settings</vt:lpstr>
      <vt:lpstr>Index</vt:lpstr>
      <vt:lpstr>0000</vt:lpstr>
      <vt:lpstr>Debug_Mode</vt:lpstr>
      <vt:lpstr>Development_Mode</vt:lpstr>
      <vt:lpstr>Schedule_Run_Date</vt:lpstr>
      <vt:lpstr>Works_Friday</vt:lpstr>
      <vt:lpstr>Works_Monday</vt:lpstr>
      <vt:lpstr>Works_Saturday</vt:lpstr>
      <vt:lpstr>Works_Sunday</vt:lpstr>
      <vt:lpstr>Works_Thrusday</vt:lpstr>
      <vt:lpstr>Works_Tuesday</vt:lpstr>
      <vt:lpstr>Works_Wednesday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2019-07-19T22:25:03Z</cp:lastPrinted>
  <dcterms:created xsi:type="dcterms:W3CDTF">2019-07-19T19:22:59Z</dcterms:created>
  <dcterms:modified xsi:type="dcterms:W3CDTF">2019-07-22T15:56:35Z</dcterms:modified>
</cp:coreProperties>
</file>