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ABB3FD88-4E16-42E0-B8DB-41C5F092CF65}" xr6:coauthVersionLast="41" xr6:coauthVersionMax="41" xr10:uidLastSave="{00000000-0000-0000-0000-000000000000}"/>
  <bookViews>
    <workbookView xWindow="-120" yWindow="480" windowWidth="38640" windowHeight="23640" activeTab="1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All_Measurements" sheetId="8" r:id="rId9"/>
    <sheet name="Index" sheetId="2" r:id="rId10"/>
    <sheet name="0000" sheetId="19" r:id="rId11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3" i="2" l="1"/>
  <c r="B8" i="2" l="1"/>
  <c r="B9" i="2"/>
  <c r="B7" i="2"/>
  <c r="B6" i="2"/>
  <c r="B5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<sst xmlns="http://schemas.openxmlformats.org/spreadsheetml/2006/main" count="144" uniqueCount="62">
  <si>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</si>
  <si>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</si>
  <si>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</si>
  <si>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</si>
  <si>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</si>
  <si>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</si>
  <si>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</si>
  <si>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</si>
  <si>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</si>
  <si>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</si>
  <si>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</si>
  <si>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</si>
  <si>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</si>
  <si>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</si>
  <si>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</si>
  <si>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</si>
  <si>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</si>
  <si>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</si>
  <si>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</si>
  <si>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</si>
  <si>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</si>
  <si>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</si>
  <si>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</si>
  <si>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</si>
  <si>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</si>
  <si>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</si>
  <si>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</si>
  <si>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</si>
  <si>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</si>
  <si>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</si>
  <si>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</si>
  <si>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</si>
  <si>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</si>
  <si>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</si>
  <si>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</si>
  <si>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</si>
  <si>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</si>
  <si>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</si>
  <si>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</si>
  <si>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</si>
  <si>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</si>
  <si>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</si>
  <si>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</si>
  <si>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</si>
  <si>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</si>
  <si>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</si>
  <si>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BB Label</t>
  </si>
  <si>
    <t>BB Total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</si>
  <si>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</si>
  <si>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</si>
  <si>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</si>
  <si>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</si>
  <si>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</si>
  <si>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</si>
  <si>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</si>
  <si>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</si>
  <si>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Total Block</t>
  </si>
  <si>
    <t>Status 12</t>
  </si>
  <si>
    <t>Status 16</t>
  </si>
  <si>
    <t>Status 20</t>
  </si>
  <si>
    <t>Status 24</t>
  </si>
  <si>
    <t>Status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</si>
</sst>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1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0" fontId="3" fillId="0" borderId="0" xfId="2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49" fontId="0" fillId="0" borderId="0" xfId="0" applyNumberFormat="1" applyFont="1"/>
    <xf numFmtId="0" fontId="3" fillId="0" borderId="0" xfId="2" applyFont="1"/>
    <xf numFmtId="0" fontId="0" fillId="0" borderId="0" xfId="0" applyFont="1" applyBorder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insertRow="1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/>
    <tableColumn id="3" xr3:uid="{A3F243D1-75B1-4890-BF60-7FCDE1BEB88A}" name="Description"/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/>
    <tableColumn id="7" xr3:uid="{D059C0B2-EFDD-4E22-8B67-B390908BE233}" name="Completed Total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BB 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BB 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BB 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BB 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BB 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BB 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BB 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BB 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BB 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BB 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insertRow="1" totalsRowShown="0">
  <autoFilter ref="B2:P3" xr:uid="{B42C1189-C8DA-494A-B32D-54407D2511B0}"/>
  <tableColumns count="15">
    <tableColumn id="1" xr3:uid="{440CB9F8-0A0C-43F1-BF8B-770E7DB1CC5A}" name="BB 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 Block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9" totalsRowShown="0" headerRowDxfId="13" dataDxfId="11" headerRowBorderDxfId="12" tableBorderDxfId="10" totalsRowBorderDxfId="9" dataCellStyle="Hyperlink">
  <autoFilter ref="B2:B9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E49" sqref="E49"/>
    </sheetView>
  </sheetViews>
  <sheetFormatPr defaultRowHeight="15" x14ac:dyDescent="0.25"/>
  <cols>
    <col min="1" max="1" width="2.85546875" customWidth="1"/>
    <col min="2" max="2" width="15.140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10:C10"/>
    <mergeCell ref="E2:K2"/>
    <mergeCell ref="M2:R2"/>
    <mergeCell ref="B2:C2"/>
  </mergeCells>
  <dataValidations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tabSelected="1" workbookViewId="0">
      <selection activeCell="H23" sqref="H2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Count</v>
      </c>
    </row>
    <row r="2" spans="2:10" x14ac:dyDescent="0.25">
      <c r="B2" t="s">
        <v>46</v>
      </c>
      <c r="C2" t="s">
        <v>22</v>
      </c>
      <c r="D2" t="s">
        <v>19</v>
      </c>
      <c r="E2" t="s">
        <v>47</v>
      </c>
      <c r="F2" t="s">
        <v>24</v>
      </c>
      <c r="G2" t="s">
        <v>48</v>
      </c>
      <c r="H2" t="s">
        <v>49</v>
      </c>
      <c r="I2" t="s">
        <v>50</v>
      </c>
      <c r="J2" t="s">
        <v>51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J3" activeCellId="5" sqref="B3 E3 G3 H3 I3 J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Length</v>
      </c>
    </row>
    <row r="2" spans="2:10" x14ac:dyDescent="0.25">
      <c r="B2" t="s">
        <v>46</v>
      </c>
      <c r="C2" t="s">
        <v>22</v>
      </c>
      <c r="D2" t="s">
        <v>19</v>
      </c>
      <c r="E2" t="s">
        <v>47</v>
      </c>
      <c r="F2" t="s">
        <v>24</v>
      </c>
      <c r="G2" t="s">
        <v>48</v>
      </c>
      <c r="H2" t="s">
        <v>49</v>
      </c>
      <c r="I2" t="s">
        <v>50</v>
      </c>
      <c r="J2" t="s">
        <v>51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J3" activeCellId="5" sqref="B3 E3 G3 H3 I3 J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Wall Area</v>
      </c>
    </row>
    <row r="2" spans="2:10" x14ac:dyDescent="0.25">
      <c r="B2" t="s">
        <v>46</v>
      </c>
      <c r="C2" t="s">
        <v>22</v>
      </c>
      <c r="D2" t="s">
        <v>19</v>
      </c>
      <c r="E2" t="s">
        <v>47</v>
      </c>
      <c r="F2" t="s">
        <v>24</v>
      </c>
      <c r="G2" t="s">
        <v>48</v>
      </c>
      <c r="H2" t="s">
        <v>49</v>
      </c>
      <c r="I2" t="s">
        <v>50</v>
      </c>
      <c r="J2" t="s">
        <v>51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J3" activeCellId="5" sqref="B3 E3 G3 H3 I3 J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Area</v>
      </c>
    </row>
    <row r="2" spans="2:10" x14ac:dyDescent="0.25">
      <c r="B2" t="s">
        <v>46</v>
      </c>
      <c r="C2" t="s">
        <v>22</v>
      </c>
      <c r="D2" t="s">
        <v>19</v>
      </c>
      <c r="E2" t="s">
        <v>47</v>
      </c>
      <c r="F2" t="s">
        <v>24</v>
      </c>
      <c r="G2" t="s">
        <v>48</v>
      </c>
      <c r="H2" t="s">
        <v>49</v>
      </c>
      <c r="I2" t="s">
        <v>50</v>
      </c>
      <c r="J2" t="s">
        <v>51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J3" activeCellId="5" sqref="B3 E3 G3 H3 I3 J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9" t="str">
        <f ca="1">MID(CELL("filename",A1),FIND("]",CELL("filename",A1))+1,256)</f>
        <v>Volume</v>
      </c>
    </row>
    <row r="2" spans="2:10" x14ac:dyDescent="0.25">
      <c r="B2" t="s">
        <v>46</v>
      </c>
      <c r="C2" t="s">
        <v>22</v>
      </c>
      <c r="D2" t="s">
        <v>19</v>
      </c>
      <c r="E2" t="s">
        <v>47</v>
      </c>
      <c r="F2" t="s">
        <v>24</v>
      </c>
      <c r="G2" t="s">
        <v>48</v>
      </c>
      <c r="H2" t="s">
        <v>49</v>
      </c>
      <c r="I2" t="s">
        <v>50</v>
      </c>
      <c r="J2" t="s">
        <v>51</v>
      </c>
    </row>
    <row r="3" spans="2:10" ht="15.75" thickBot="1" x14ac:dyDescent="0.3">
      <c r="B3" s="30"/>
      <c r="C3" s="10"/>
      <c r="D3" s="10"/>
      <c r="E3" s="30"/>
      <c r="G3" s="30"/>
      <c r="H3" s="30"/>
      <c r="I3" s="30"/>
      <c r="J3" s="30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H21" sqref="H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9" t="str">
        <f ca="1">MID(CELL("filename",A1),FIND("]",CELL("filename",A1))+1,256)</f>
        <v>Masonry</v>
      </c>
    </row>
    <row r="2" spans="2:16" x14ac:dyDescent="0.25">
      <c r="B2" t="s">
        <v>46</v>
      </c>
      <c r="C2" t="s">
        <v>22</v>
      </c>
      <c r="D2" t="s">
        <v>19</v>
      </c>
      <c r="E2" t="s">
        <v>52</v>
      </c>
      <c r="F2" t="s">
        <v>55</v>
      </c>
      <c r="G2" t="s">
        <v>56</v>
      </c>
      <c r="H2" t="s">
        <v>24</v>
      </c>
      <c r="I2" t="s">
        <v>48</v>
      </c>
      <c r="J2" t="s">
        <v>53</v>
      </c>
      <c r="K2" t="s">
        <v>54</v>
      </c>
      <c r="L2" t="s">
        <v>57</v>
      </c>
      <c r="M2" t="s">
        <v>58</v>
      </c>
      <c r="N2" t="s">
        <v>59</v>
      </c>
      <c r="O2" t="s">
        <v>60</v>
      </c>
      <c r="P2" t="s">
        <v>61</v>
      </c>
    </row>
    <row r="3" spans="2:16" ht="15.75" thickBot="1" x14ac:dyDescent="0.3">
      <c r="B3" s="30"/>
      <c r="C3" s="10"/>
      <c r="D3" s="10"/>
      <c r="E3" s="10"/>
      <c r="F3" s="30"/>
      <c r="I3" s="30"/>
      <c r="J3" s="30"/>
      <c r="K3" s="30"/>
      <c r="L3" s="30"/>
      <c r="M3" s="30"/>
      <c r="N3" s="30"/>
      <c r="O3" s="30"/>
      <c r="P3" s="30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6" t="s">
        <v>0</v>
      </c>
      <c r="C2" s="26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6" t="s">
        <v>7</v>
      </c>
      <c r="C10" s="26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4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6" t="s">
        <v>42</v>
      </c>
      <c r="C21" s="26"/>
      <c r="E21" s="4">
        <v>44081</v>
      </c>
    </row>
    <row r="22" spans="2:5" x14ac:dyDescent="0.25">
      <c r="B22" s="1" t="s">
        <v>43</v>
      </c>
      <c r="C22" s="28" t="b">
        <v>1</v>
      </c>
      <c r="E22" s="4">
        <v>44146</v>
      </c>
    </row>
    <row r="23" spans="2:5" x14ac:dyDescent="0.25">
      <c r="B23" s="1" t="s">
        <v>44</v>
      </c>
      <c r="C23" s="28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AD80-95B9-474F-A979-45453766F9BA}">
  <sheetPr codeName="Sheet10">
    <tabColor theme="4" tint="0.3999755851924192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H42" sqref="H4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3" t="str">
        <f>HYPERLINK("#All_Measurements!A1","All_Measurements")</f>
        <v>All_Measurements</v>
      </c>
      <c r="C3" s="6"/>
      <c r="D3" s="17" t="s">
        <v>37</v>
      </c>
      <c r="E3" s="18" t="str">
        <f ca="1">HYPERLINK("#"&amp;TradesTable[[#This Row],[Trade ID]]&amp;"!A1", INDIRECT("'"&amp;TradesTable[[#This Row],[Trade ID]]&amp;"'!C3"))</f>
        <v>Example Trade</v>
      </c>
      <c r="F3" s="16">
        <f ca="1">INDIRECT("'"&amp;TradesTable[[#This Row],[Trade ID]]&amp;"'!C5")</f>
        <v>0</v>
      </c>
      <c r="G3" s="19"/>
      <c r="H3" s="6"/>
    </row>
    <row r="4" spans="1:14" ht="15.75" x14ac:dyDescent="0.25">
      <c r="A4" s="6"/>
      <c r="B4" s="12" t="str">
        <f>HYPERLINK("#Count!A1", "Count")</f>
        <v>Count</v>
      </c>
    </row>
    <row r="5" spans="1:14" ht="15.75" x14ac:dyDescent="0.25">
      <c r="A5" s="6"/>
      <c r="B5" s="12" t="str">
        <f>HYPERLINK("#Length!A1", "Length")</f>
        <v>Length</v>
      </c>
    </row>
    <row r="6" spans="1:14" ht="15.75" x14ac:dyDescent="0.25">
      <c r="A6" s="6"/>
      <c r="B6" s="12" t="str">
        <f>HYPERLINK("#'Wall Area'!A1", "Wall Area")</f>
        <v>Wall Area</v>
      </c>
    </row>
    <row r="7" spans="1:14" ht="15.75" x14ac:dyDescent="0.25">
      <c r="A7" s="6"/>
      <c r="B7" s="12" t="str">
        <f>HYPERLINK("#Area!A1", "Area")</f>
        <v>Area</v>
      </c>
    </row>
    <row r="8" spans="1:14" ht="15.75" x14ac:dyDescent="0.25">
      <c r="A8" s="6"/>
      <c r="B8" s="12" t="str">
        <f>HYPERLINK("#Volume!A1", "Volume")</f>
        <v>Volume</v>
      </c>
    </row>
    <row r="9" spans="1:14" ht="15.75" x14ac:dyDescent="0.25">
      <c r="A9" s="6"/>
      <c r="B9" s="12" t="str">
        <f>HYPERLINK("#Masonry!A1", "Masonry")</f>
        <v>Masonry</v>
      </c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B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G17" sqref="G17"/>
    </sheetView>
  </sheetViews>
  <sheetFormatPr defaultRowHeight="15" x14ac:dyDescent="0.25"/>
  <cols>
    <col min="1" max="1" width="2.85546875" customWidth="1"/>
    <col min="2" max="2" width="16.28515625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27" t="str">
        <f>HYPERLINK("#Index!A1", "Back to Index")</f>
        <v>Back to Index</v>
      </c>
    </row>
    <row r="2" spans="2:18" ht="18.75" x14ac:dyDescent="0.25">
      <c r="B2" s="20" t="s">
        <v>28</v>
      </c>
      <c r="C2" s="20"/>
      <c r="E2" s="21" t="s">
        <v>27</v>
      </c>
      <c r="F2" s="22"/>
      <c r="G2" s="22"/>
      <c r="H2" s="22"/>
      <c r="I2" s="22"/>
      <c r="J2" s="22"/>
      <c r="K2" s="23"/>
      <c r="M2" s="24" t="s">
        <v>25</v>
      </c>
      <c r="N2" s="25"/>
      <c r="O2" s="25"/>
      <c r="P2" s="25"/>
      <c r="Q2" s="25"/>
      <c r="R2" s="25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5"/>
    </row>
    <row r="6" spans="2:18" x14ac:dyDescent="0.25">
      <c r="B6" t="s">
        <v>45</v>
      </c>
      <c r="C6" s="10"/>
    </row>
    <row r="10" spans="2:18" x14ac:dyDescent="0.25">
      <c r="B10" s="20" t="s">
        <v>18</v>
      </c>
      <c r="C10" s="20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4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All_Measurements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2019-07-20T19:24:28Z</dcterms:modified>
</cp:coreProperties>
</file>