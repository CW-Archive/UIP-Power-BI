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39F7AE99-25A2-4853-ADB0-98B42DE4F312}" xr6:coauthVersionLast="41" xr6:coauthVersionMax="41" xr10:uidLastSave="{00000000-0000-0000-0000-000000000000}"/>
  <bookViews>
    <workbookView xWindow="38280" yWindow="6525" windowWidth="29040" windowHeight="17640" activeTab="12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Index" sheetId="2" r:id="rId9"/>
    <sheet name="0000" sheetId="19" r:id="rId10"/>
    <sheet name="0001" sheetId="25" r:id="rId11"/>
    <sheet name="0002" sheetId="26" r:id="rId12"/>
    <sheet name="0003" sheetId="27" r:id="rId13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27" l="1"/>
  <c r="C17" i="27"/>
  <c r="C15" i="27"/>
  <c r="C14" i="27"/>
  <c r="C13" i="27"/>
  <c r="C12" i="27"/>
  <c r="C11" i="27"/>
  <c r="B1" i="27"/>
  <c r="E6" i="2"/>
  <c r="F6" i="2"/>
  <c r="C18" i="26" l="1"/>
  <c r="C17" i="26"/>
  <c r="C16" i="26"/>
  <c r="C15" i="26"/>
  <c r="C14" i="26"/>
  <c r="C13" i="26"/>
  <c r="C12" i="26"/>
  <c r="C11" i="26"/>
  <c r="B1" i="26"/>
  <c r="F5" i="2"/>
  <c r="E5" i="2"/>
  <c r="C18" i="25" l="1"/>
  <c r="C17" i="25"/>
  <c r="C16" i="25"/>
  <c r="C15" i="25"/>
  <c r="C14" i="25"/>
  <c r="C13" i="25"/>
  <c r="C12" i="25"/>
  <c r="C11" i="25"/>
  <c r="B1" i="25"/>
  <c r="F4" i="2"/>
  <c r="E4" i="2"/>
  <c r="B1" i="24" l="1"/>
  <c r="B1" i="23"/>
  <c r="B1" i="22"/>
  <c r="B1" i="21"/>
  <c r="B1" i="3"/>
  <c r="B1" i="20"/>
  <c r="J4" i="9"/>
  <c r="F4" i="9"/>
  <c r="K4" i="9"/>
  <c r="G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7" i="2" l="1"/>
  <c r="B8" i="2"/>
  <c r="B6" i="2"/>
  <c r="B5" i="2"/>
  <c r="B4" i="2"/>
  <c r="B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<sst xmlns="http://schemas.openxmlformats.org/spreadsheetml/2006/main" count="291" uniqueCount="81">
  <si>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</si>
  <si>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</si>
  <si>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</si>
  <si>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</si>
  <si>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</si>
  <si>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</si>
  <si>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</si>
  <si>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</si>
  <si>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</si>
  <si>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</si>
  <si>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</si>
  <si>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</si>
  <si>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</si>
  <si>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</si>
  <si>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</si>
  <si>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</si>
  <si>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</si>
  <si>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</si>
  <si>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</si>
  <si>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</si>
  <si>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</si>
  <si>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</si>
  <si>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</si>
  <si>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</si>
  <si>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</si>
  <si>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</si>
  <si>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</si>
  <si>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</si>
  <si>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</si>
  <si>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</si>
  <si>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</si>
  <si>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</si>
  <si>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</si>
  <si>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</si>
  <si>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</si>
  <si>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</si>
  <si>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</si>
  <si>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</si>
  <si>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</si>
  <si>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</si>
  <si>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</si>
  <si>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</si>
  <si>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</si>
  <si>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</si>
  <si>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</si>
  <si>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</si>
  <si>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</si>
  <si>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</si>
  <si>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</si>
  <si>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</si>
  <si>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</si>
  <si>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</si>
  <si>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</si>
  <si>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</si>
  <si>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</si>
  <si>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</si>
  <si>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</si>
  <si>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</si>
  <si>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</si>
  <si>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</si>
  <si>
    <t>Trade Export (Automatically Generated)</t>
  </si>
  <si>
    <t>C1</t>
  </si>
  <si>
    <t>C2</t>
  </si>
  <si>
    <t>C3</t>
  </si>
  <si>
    <t>C4</t>
  </si>
  <si>
    <t>Area A</t>
  </si>
  <si>
    <t>Area B</t>
  </si>
  <si>
    <t>Area C</t>
  </si>
  <si>
    <t>Area D</t>
  </si>
  <si>
    <t>PlanTotal_C2</t>
  </si>
  <si>
    <t>PlanTotal_C3</t>
  </si>
  <si>
    <t>CompTotal_C2</t>
  </si>
  <si>
    <t>CompTotal_C3</t>
  </si>
  <si>
    <t>PlanTotal_C4</t>
  </si>
  <si>
    <t>CompTotal_C4</t>
  </si>
  <si>
    <t>0001</t>
  </si>
  <si>
    <t>PlanTotal_C1</t>
  </si>
  <si>
    <t>CompTotal_C1</t>
  </si>
  <si>
    <t>0002</t>
  </si>
  <si>
    <t>0003</t>
  </si>
  <si>
    <t>C5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</si>
</sst>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5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49" fontId="0" fillId="0" borderId="0" xfId="0" applyNumberFormat="1"/>
    <xf numFmtId="0" fontId="1" fillId="2" borderId="11" xfId="1" applyBorder="1"/>
    <xf numFmtId="14" fontId="1" fillId="2" borderId="1" xfId="1" applyNumberFormat="1"/>
    <xf numFmtId="14" fontId="1" fillId="2" borderId="11" xfId="1" applyNumberFormat="1" applyBorder="1"/>
    <xf numFmtId="49" fontId="3" fillId="0" borderId="0" xfId="2" applyNumberFormat="1" applyFont="1" applyAlignment="1">
      <alignment horizontal="left"/>
    </xf>
    <xf numFmtId="0" fontId="3" fillId="0" borderId="0" xfId="2" applyNumberFormat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33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border outline="0">
        <left style="thin">
          <color rgb="FF7F7F7F"/>
        </left>
      </border>
    </dxf>
    <dxf>
      <numFmt numFmtId="19" formatCode="m/d/yyyy"/>
      <border outline="0">
        <left style="thin">
          <color rgb="FF7F7F7F"/>
        </left>
      </border>
    </dxf>
    <dxf>
      <numFmt numFmtId="19" formatCode="m/d/yyyy"/>
      <border outline="0">
        <right style="thin">
          <color rgb="FF7F7F7F"/>
        </right>
      </border>
    </dxf>
    <dxf>
      <border outline="0">
        <right style="thin">
          <color rgb="FF7F7F7F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30" totalsRowShown="0">
  <autoFilter ref="E3:E30" xr:uid="{9E5CA91D-2E0C-42D3-90A8-14527BA94903}"/>
  <tableColumns count="1">
    <tableColumn id="1" xr3:uid="{0A735B84-78F7-4DB5-8997-392D6DDC6E50}" name="Date" dataDxfId="32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8" totalsRowShown="0" headerRowDxfId="31" dataDxfId="29" headerRowBorderDxfId="30" tableBorderDxfId="28" totalsRowBorderDxfId="27" dataCellStyle="Hyperlink">
  <autoFilter ref="B2:B8" xr:uid="{271E6750-7AAD-4717-A22E-42FE3167AC23}"/>
  <tableColumns count="1">
    <tableColumn id="1" xr3:uid="{EAEF65C8-5A0D-4A2C-8773-2609BF0E3DBA}" name="Measurements" dataDxfId="26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6" totalsRowShown="0" headerRowDxfId="25" dataDxfId="23" headerRowBorderDxfId="24" tableBorderDxfId="22" totalsRowBorderDxfId="21">
  <autoFilter ref="D2:F6" xr:uid="{D00C40E4-B4A8-4635-A28F-2E70A0E0178A}"/>
  <tableColumns count="3">
    <tableColumn id="1" xr3:uid="{FAE95E1F-8E91-4A91-813A-E1DFF07DA1B3}" name="Trade ID" dataDxfId="20" dataCellStyle="Hyperlink"/>
    <tableColumn id="3" xr3:uid="{6CEB8600-7C9F-45FD-A101-72A894BD3229}" name="Trade Name" dataDxfId="19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18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Q7" totalsRowShown="0">
  <autoFilter ref="E3:Q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8F00047E-2A18-40A4-9A29-28902EECCBED}" name="Date" dataCellStyle="Input"/>
    <tableColumn id="2" xr3:uid="{BB00B853-47CF-40ED-AE35-4F5A2854B1CA}" name="Area"/>
    <tableColumn id="3" xr3:uid="{490E3BA8-7604-44EB-BDF1-788066748CDF}" name="Description" dataDxfId="17"/>
    <tableColumn id="4" xr3:uid="{58B1617C-7EDF-4588-966B-AD66BA5394D9}" name="Start Date" dataDxfId="16" dataCellStyle="Input"/>
    <tableColumn id="5" xr3:uid="{08794624-E9E5-4B36-8E3C-18896280D293}" name="Finish Date" dataDxfId="15" dataCellStyle="Input"/>
    <tableColumn id="6" xr3:uid="{29B7F529-D77E-4A0E-916A-2E4180623B62}" name="Total" dataDxfId="14"/>
    <tableColumn id="7" xr3:uid="{57288758-C00A-4F5D-9DA6-28458225DED8}" name="Completed Total"/>
    <tableColumn id="8" xr3:uid="{9E1B38AC-7205-46CE-BBB5-BDD89E1B42C0}" name="PlanTotal_C2"/>
    <tableColumn id="9" xr3:uid="{82BB65DA-5A22-4A77-B95F-62FDE436D0D4}" name="CompTotal_C2"/>
    <tableColumn id="10" xr3:uid="{9083F923-1463-4E67-9DA6-A3BF487B046C}" name="PlanTotal_C3"/>
    <tableColumn id="11" xr3:uid="{9AC1895B-4145-490E-B8A5-758938CFE0F5}" name="CompTotal_C3"/>
    <tableColumn id="12" xr3:uid="{402734A7-87D6-40E9-BF93-DA0B967ACFC0}" name="PlanTotal_C4"/>
    <tableColumn id="13" xr3:uid="{B24A99C1-8069-4620-9D1C-3ED4C8925B82}" name="CompTotal_C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S3:S4" insertRow="1" totalsRowShown="0">
  <autoFilter ref="S3:S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CE4E71-7AB4-463C-9C78-AF91B60ECE26}" name="AreasTable_0001" displayName="AreasTable_0001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DEFB9B3-808C-4982-ABA5-2D7DC5E1AFB0}" name="MID" dataCellStyle="Input"/>
    <tableColumn id="2" xr3:uid="{9E283189-49D8-47E5-B499-9FB72003C568}" name="Area"/>
    <tableColumn id="3" xr3:uid="{E15FE75C-9717-4EBA-8D8B-8604DE2A419B}" name="Description"/>
    <tableColumn id="4" xr3:uid="{36B030C5-4F54-4BF8-AE0A-B3B973562763}" name="Start Date" dataDxfId="13" dataCellStyle="Input"/>
    <tableColumn id="5" xr3:uid="{5AE6735C-AC69-41A4-AA23-3EB26F91EF37}" name="Finish Date" dataDxfId="12" dataCellStyle="Input"/>
    <tableColumn id="6" xr3:uid="{1DA8FB03-1A49-4F1F-A181-2AC9C96AB088}" name="Total"/>
    <tableColumn id="7" xr3:uid="{2F9BAE56-3C7C-40D9-872F-F9EE40085211}" name="Completed Total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F86023-49FF-462F-95AA-BEF775C58CEF}" name="ExportTable_0001" displayName="ExportTable_0001" ref="M3:U4" insertRow="1" totalsRowShown="0">
  <autoFilter ref="M3:U4" xr:uid="{E91115CA-0BA6-4ECC-AF7F-36F1B519716B}"/>
  <tableColumns count="9">
    <tableColumn id="1" xr3:uid="{F08CC69B-246C-4FE4-8864-8B8FE2EDDADC}" name="Date"/>
    <tableColumn id="8" xr3:uid="{7B7E8D43-5624-4253-82FE-2DEFFAC75E58}" name="PlanTotal_C1"/>
    <tableColumn id="9" xr3:uid="{421F15F2-9D04-4552-8971-14B5092497C3}" name="CompTotal_C1"/>
    <tableColumn id="10" xr3:uid="{A0ABD9A3-1B84-486D-9559-98234672D6C8}" name="PlanTotal_C2"/>
    <tableColumn id="11" xr3:uid="{B005A959-0A0D-4E6E-AAEC-872C5ED4F2D8}" name="CompTotal_C2"/>
    <tableColumn id="12" xr3:uid="{21D81AC4-1FC1-461B-94F0-878B1BD316A3}" name="PlanTotal_C3"/>
    <tableColumn id="13" xr3:uid="{BCEC3EC5-E7A5-480A-93A6-6E5B5D4AB0EA}" name="CompTotal_C3"/>
    <tableColumn id="14" xr3:uid="{2119C6C5-CD75-47AE-AFA6-4C17C8011190}" name="PlanTotal_C4"/>
    <tableColumn id="15" xr3:uid="{0F3A52BA-770F-4886-A4C0-5567E70A7FD1}" name="CompTotal_C4"/>
  </tableColumns>
  <tableStyleInfo name="TableStyleLight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4D9F63-68A2-4E3E-A259-B9E62B6E9704}" name="AreasTable_0002" displayName="AreasTable_0002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BF62A3A-C522-4677-B87C-B0E6688150C6}" name="MID" dataCellStyle="Input"/>
    <tableColumn id="2" xr3:uid="{7C07260B-D48F-4218-9793-715118837853}" name="Area"/>
    <tableColumn id="3" xr3:uid="{80C7E420-BF6A-4906-BEDD-CAA7D1783033}" name="Description"/>
    <tableColumn id="4" xr3:uid="{71757A06-ADA6-4CA4-9AC2-257059C33358}" name="Start Date" dataDxfId="11" dataCellStyle="Input"/>
    <tableColumn id="5" xr3:uid="{35BBC976-BC9E-4BED-ADF0-A754DB7EA3D0}" name="Finish Date" dataDxfId="10" dataCellStyle="Input"/>
    <tableColumn id="6" xr3:uid="{D3CDFF3C-18D8-4029-BBC9-E210EDDFC460}" name="Total"/>
    <tableColumn id="7" xr3:uid="{08638058-C75D-494A-B4B6-8F4F79065BB1}" name="Completed Total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4562C81-461C-488D-8843-5459BC5156DE}" name="ExportTable_0002" displayName="ExportTable_0002" ref="M3:U80" totalsRowShown="0">
  <autoFilter ref="M3:U80" xr:uid="{E91115CA-0BA6-4ECC-AF7F-36F1B519716B}"/>
  <tableColumns count="9">
    <tableColumn id="1" xr3:uid="{EB8E9547-0D16-4642-A3F0-290D96681166}" name="Date"/>
    <tableColumn id="52" xr3:uid="{05A047F7-753A-498B-92C1-0FEB10AD689F}" name="PlanTotal_C1" dataDxfId="9"/>
    <tableColumn id="53" xr3:uid="{ECB8E043-C86E-4A71-ABAE-2E59510DD379}" name="CompTotal_C1" dataDxfId="8"/>
    <tableColumn id="54" xr3:uid="{63CEC654-204B-49ED-860D-1D0D4F314515}" name="PlanTotal_C2" dataDxfId="7"/>
    <tableColumn id="55" xr3:uid="{3A2A10EA-17EA-473A-96A8-6E77FFB439C5}" name="CompTotal_C2" dataDxfId="6"/>
    <tableColumn id="56" xr3:uid="{BB849AC0-7B78-45F9-8ACD-EDE75AF8D0F5}" name="PlanTotal_C3" dataDxfId="5"/>
    <tableColumn id="57" xr3:uid="{905DD493-5AF9-4E5D-8FC2-C194797A4EFF}" name="CompTotal_C3" dataDxfId="4"/>
    <tableColumn id="58" xr3:uid="{F868616A-3322-4FA1-8332-D85E632B8125}" name="PlanTotal_C4" dataDxfId="3"/>
    <tableColumn id="59" xr3:uid="{47960BBA-36AB-42D9-BD65-A2A8765D03A5}" name="CompTotal_C4" dataDxfId="2"/>
  </tableColumns>
  <tableStyleInfo name="TableStyleLight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23AB37-617E-405A-85FC-0800055955D5}" name="AreasTable_0003" displayName="AreasTable_0003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3D1D49C-A54C-412B-8AB4-524050E8D992}" name="MID" dataCellStyle="Input"/>
    <tableColumn id="2" xr3:uid="{67023113-8FAB-4E8D-8F94-5C19DC4B9832}" name="Area"/>
    <tableColumn id="3" xr3:uid="{6C841BD7-A792-47F6-BA24-F91A015289C2}" name="Description"/>
    <tableColumn id="4" xr3:uid="{710348CB-AF87-4495-BE0D-56AF60D3558C}" name="Start Date" dataDxfId="1" dataCellStyle="Input"/>
    <tableColumn id="5" xr3:uid="{A236A044-ED47-4872-AC33-E34946539A39}" name="Finish Date" dataDxfId="0" dataCellStyle="Input"/>
    <tableColumn id="6" xr3:uid="{C71E4DA2-E04F-4CF2-B7A0-CEF6B3178248}" name="Total"/>
    <tableColumn id="7" xr3:uid="{87190C9F-2E6A-4410-A1BD-7D57C2113A43}" name="Completed Total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70C0FCD-5557-4969-BB8C-DD92D65C232C}" name="ExportTable_0003" displayName="ExportTable_0003" ref="M3:U83" totalsRowShown="0">
  <autoFilter ref="M3:U83" xr:uid="{E91115CA-0BA6-4ECC-AF7F-36F1B519716B}"/>
  <tableColumns count="9">
    <tableColumn id="1" xr3:uid="{091C0C51-9F16-4BB2-BEE5-CDFD4346E5E1}" name="Date"/>
    <tableColumn id="2" xr3:uid="{1D42B68A-A2EC-41D5-ACAB-F3583BAD6637}" name="PlanTotal_C1"/>
    <tableColumn id="3" xr3:uid="{F7993133-791B-43BE-9AD8-5A233AF32BEF}" name="CompTotal_C1"/>
    <tableColumn id="4" xr3:uid="{83F473C6-C650-423B-920A-5C445BA24F10}" name="PlanTotal_C2"/>
    <tableColumn id="5" xr3:uid="{C8E51AAE-5F49-4003-BEAD-BF98F5DC5867}" name="CompTotal_C2"/>
    <tableColumn id="6" xr3:uid="{EE63C5C8-4EDD-47B8-927A-37667701E4A8}" name="PlanTotal_C3"/>
    <tableColumn id="7" xr3:uid="{B87BDA7B-5166-481B-9140-250366525F77}" name="CompTotal_C3"/>
    <tableColumn id="8" xr3:uid="{1E3EA78F-9D50-4E51-8475-D121C4AD9414}" name="PlanTotal_C4"/>
    <tableColumn id="9" xr3:uid="{CA212282-1A14-4CFE-8B67-4753B67A1F8F}" name="CompTotal_C4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B12" sqref="B12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 t="str">
        <f ca="1">IF(Measurements_Lookup(AreasTable_Template[[#This Row],[MID]],AreasTable_Template[[#Headers],[Area]])="", "", Measurements_Lookup(AreasTable_Template[[#This Row],[MID]],AreasTable_Template[[#Headers],[Area]]))</f>
        <v/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/>
      </c>
      <c r="H4" s="10"/>
      <c r="I4" s="10"/>
      <c r="J4" s="8" t="str">
        <f ca="1">IF(Measurements_Lookup(AreasTable_Template[[#This Row],[MID]],AreasTable_Template[[#Headers],[Total]])="", "", Measurements_Lookup(AreasTable_Template[[#This Row],[MID]],AreasTable_Template[[#Headers],[Total]]))</f>
        <v/>
      </c>
      <c r="K4" s="9" t="str">
        <f ca="1">IF(Measurements_Lookup(AreasTable_Template[[#This Row],[MID]],AreasTable_Template[[#Headers],[Completed Total]])="", "", Measurements_Lookup(AreasTable_Template[[#This Row],[MID]],AreasTable_Template[[#Headers],[Completed Total]]))</f>
        <v/>
      </c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8" t="s">
        <v>18</v>
      </c>
      <c r="C10" s="28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14" sqref="F1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G21" sqref="G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0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1"/>
      <c r="C3" s="10"/>
      <c r="D3" s="10"/>
      <c r="E3" s="10"/>
      <c r="F3" s="21"/>
      <c r="I3" s="21"/>
      <c r="J3" s="21"/>
      <c r="K3" s="21"/>
      <c r="L3" s="21"/>
      <c r="M3" s="21"/>
      <c r="N3" s="21"/>
      <c r="O3" s="21"/>
      <c r="P3" s="21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30"/>
  <sheetViews>
    <sheetView showGridLines="0" workbookViewId="0">
      <selection activeCell="E8" sqref="E8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34" t="s">
        <v>0</v>
      </c>
      <c r="C2" s="34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43670</v>
      </c>
    </row>
    <row r="9" spans="2:5" x14ac:dyDescent="0.25">
      <c r="E9" s="4">
        <v>43710</v>
      </c>
    </row>
    <row r="10" spans="2:5" ht="23.25" x14ac:dyDescent="0.25">
      <c r="B10" s="34" t="s">
        <v>7</v>
      </c>
      <c r="C10" s="34"/>
      <c r="E10" s="4">
        <v>43780</v>
      </c>
    </row>
    <row r="11" spans="2:5" x14ac:dyDescent="0.25">
      <c r="B11" s="1" t="s">
        <v>8</v>
      </c>
      <c r="C11" s="2" t="s">
        <v>33</v>
      </c>
      <c r="E11" s="4">
        <v>43797</v>
      </c>
    </row>
    <row r="12" spans="2:5" x14ac:dyDescent="0.25">
      <c r="B12" s="1" t="s">
        <v>9</v>
      </c>
      <c r="C12" s="2" t="s">
        <v>34</v>
      </c>
      <c r="E12" s="4">
        <v>43798</v>
      </c>
    </row>
    <row r="13" spans="2:5" x14ac:dyDescent="0.25">
      <c r="B13" s="1" t="s">
        <v>10</v>
      </c>
      <c r="C13" s="2" t="s">
        <v>34</v>
      </c>
      <c r="E13" s="4">
        <v>43823</v>
      </c>
    </row>
    <row r="14" spans="2:5" x14ac:dyDescent="0.25">
      <c r="B14" s="1" t="s">
        <v>11</v>
      </c>
      <c r="C14" s="2" t="s">
        <v>34</v>
      </c>
      <c r="E14" s="4">
        <v>43824</v>
      </c>
    </row>
    <row r="15" spans="2:5" x14ac:dyDescent="0.25">
      <c r="B15" s="1" t="s">
        <v>12</v>
      </c>
      <c r="C15" s="2" t="s">
        <v>34</v>
      </c>
      <c r="E15" s="4">
        <v>43825</v>
      </c>
    </row>
    <row r="16" spans="2:5" x14ac:dyDescent="0.25">
      <c r="B16" s="1" t="s">
        <v>13</v>
      </c>
      <c r="C16" s="2" t="s">
        <v>34</v>
      </c>
      <c r="E16" s="4">
        <v>43830</v>
      </c>
    </row>
    <row r="17" spans="2:5" x14ac:dyDescent="0.25">
      <c r="B17" s="1" t="s">
        <v>14</v>
      </c>
      <c r="C17" s="2" t="s">
        <v>33</v>
      </c>
      <c r="E17" s="4">
        <v>43831</v>
      </c>
    </row>
    <row r="18" spans="2:5" x14ac:dyDescent="0.25">
      <c r="B18" s="1" t="s">
        <v>17</v>
      </c>
      <c r="C18" s="13">
        <v>43466</v>
      </c>
      <c r="E18" s="4">
        <v>43933</v>
      </c>
    </row>
    <row r="19" spans="2:5" x14ac:dyDescent="0.25">
      <c r="E19" s="4">
        <v>43956</v>
      </c>
    </row>
    <row r="20" spans="2:5" x14ac:dyDescent="0.25">
      <c r="E20" s="4">
        <v>43976</v>
      </c>
    </row>
    <row r="21" spans="2:5" ht="23.25" x14ac:dyDescent="0.25">
      <c r="B21" s="34" t="s">
        <v>42</v>
      </c>
      <c r="C21" s="34"/>
      <c r="E21" s="4">
        <v>44016</v>
      </c>
    </row>
    <row r="22" spans="2:5" x14ac:dyDescent="0.25">
      <c r="B22" s="1" t="s">
        <v>43</v>
      </c>
      <c r="C22" s="19" t="b">
        <v>1</v>
      </c>
      <c r="E22" s="4">
        <v>44081</v>
      </c>
    </row>
    <row r="23" spans="2:5" x14ac:dyDescent="0.25">
      <c r="B23" s="1" t="s">
        <v>44</v>
      </c>
      <c r="C23" s="19" t="b">
        <v>1</v>
      </c>
      <c r="E23" s="4">
        <v>44146</v>
      </c>
    </row>
    <row r="24" spans="2:5" x14ac:dyDescent="0.25">
      <c r="E24" s="4">
        <v>44161</v>
      </c>
    </row>
    <row r="25" spans="2:5" x14ac:dyDescent="0.25">
      <c r="E25" s="4">
        <v>44162</v>
      </c>
    </row>
    <row r="26" spans="2:5" x14ac:dyDescent="0.25">
      <c r="E26" s="4">
        <v>44189</v>
      </c>
    </row>
    <row r="27" spans="2:5" x14ac:dyDescent="0.25">
      <c r="E27" s="4">
        <v>44190</v>
      </c>
    </row>
    <row r="28" spans="2:5" x14ac:dyDescent="0.25">
      <c r="E28" s="4">
        <v>44196</v>
      </c>
    </row>
    <row r="29" spans="2:5" x14ac:dyDescent="0.25">
      <c r="E29" s="4">
        <v>44197</v>
      </c>
    </row>
    <row r="30" spans="2:5" x14ac:dyDescent="0.25">
      <c r="E30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F14" sqref="F14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2" t="str">
        <f>HYPERLINK("#Count!A1", "Count")</f>
        <v>Count</v>
      </c>
      <c r="C3" s="6"/>
      <c r="D3" s="22" t="s">
        <v>37</v>
      </c>
      <c r="E3" s="16" t="str">
        <f ca="1">HYPERLINK("#"&amp;TradesTable[[#This Row],[Trade ID]]&amp;"!A1", INDIRECT("'"&amp;TradesTable[[#This Row],[Trade ID]]&amp;"'!C3"))</f>
        <v>Example Trade</v>
      </c>
      <c r="F3" s="15">
        <f ca="1">INDIRECT("'"&amp;TradesTable[[#This Row],[Trade ID]]&amp;"'!C5")</f>
        <v>0</v>
      </c>
      <c r="G3" s="17"/>
      <c r="H3" s="6"/>
    </row>
    <row r="4" spans="1:14" ht="15.75" x14ac:dyDescent="0.25">
      <c r="A4" s="6"/>
      <c r="B4" s="12" t="str">
        <f>HYPERLINK("#Length!A1", "Length")</f>
        <v>Length</v>
      </c>
      <c r="D4" s="26" t="s">
        <v>75</v>
      </c>
      <c r="E4" s="27" t="str">
        <f ca="1">HYPERLINK("#"&amp;TradesTable[[#This Row],[Trade ID]]&amp;"!A1", INDIRECT("'"&amp;TradesTable[[#This Row],[Trade ID]]&amp;"'!C3"))</f>
        <v>TRADE NAME</v>
      </c>
      <c r="F4" s="15">
        <f ca="1">INDIRECT("'"&amp;TradesTable[[#This Row],[Trade ID]]&amp;"'!C5")</f>
        <v>0</v>
      </c>
    </row>
    <row r="5" spans="1:14" ht="15.75" x14ac:dyDescent="0.25">
      <c r="A5" s="6"/>
      <c r="B5" s="12" t="str">
        <f>HYPERLINK("#'Wall Area'!A1", "Wall Area")</f>
        <v>Wall Area</v>
      </c>
      <c r="D5" s="26" t="s">
        <v>78</v>
      </c>
      <c r="E5" s="27" t="str">
        <f ca="1">HYPERLINK("#"&amp;TradesTable[[#This Row],[Trade ID]]&amp;"!A1", INDIRECT("'"&amp;TradesTable[[#This Row],[Trade ID]]&amp;"'!C3"))</f>
        <v>TRADE NAME</v>
      </c>
      <c r="F5" s="15">
        <f ca="1">INDIRECT("'"&amp;TradesTable[[#This Row],[Trade ID]]&amp;"'!C5")</f>
        <v>0</v>
      </c>
    </row>
    <row r="6" spans="1:14" ht="15.75" x14ac:dyDescent="0.25">
      <c r="A6" s="6"/>
      <c r="B6" s="12" t="str">
        <f>HYPERLINK("#Area!A1", "Area")</f>
        <v>Area</v>
      </c>
      <c r="D6" s="26" t="s">
        <v>79</v>
      </c>
      <c r="E6" s="27" t="str">
        <f ca="1">HYPERLINK("#"&amp;TradesTable[[#This Row],[Trade ID]]&amp;"!A1", INDIRECT("'"&amp;TradesTable[[#This Row],[Trade ID]]&amp;"'!C3"))</f>
        <v>TRADE NAME</v>
      </c>
      <c r="F6" s="15">
        <f ca="1">INDIRECT("'"&amp;TradesTable[[#This Row],[Trade ID]]&amp;"'!C5")</f>
        <v>0</v>
      </c>
    </row>
    <row r="7" spans="1:14" ht="15.75" x14ac:dyDescent="0.25">
      <c r="A7" s="6"/>
      <c r="B7" s="12" t="str">
        <f>HYPERLINK("#Volume!A1", "Volume")</f>
        <v>Volume</v>
      </c>
    </row>
    <row r="8" spans="1:14" ht="15.75" x14ac:dyDescent="0.25">
      <c r="A8" s="6"/>
      <c r="B8" s="12" t="str">
        <f>HYPERLINK("#Masonry!A1", "Masonry")</f>
        <v>Masonry</v>
      </c>
    </row>
    <row r="9" spans="1:14" x14ac:dyDescent="0.25">
      <c r="A9" s="6"/>
      <c r="B9" s="6"/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S18"/>
  <sheetViews>
    <sheetView workbookViewId="0">
      <selection activeCell="E4" sqref="E4:K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9" x14ac:dyDescent="0.25">
      <c r="B1" s="18" t="str">
        <f>HYPERLINK("#Index!A1", "Back to Index")</f>
        <v>Back to Index</v>
      </c>
    </row>
    <row r="2" spans="2:19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60</v>
      </c>
      <c r="N2" s="33"/>
      <c r="O2" s="33"/>
      <c r="P2" s="33"/>
      <c r="Q2" s="33"/>
      <c r="R2" s="33"/>
    </row>
    <row r="3" spans="2:19" x14ac:dyDescent="0.25">
      <c r="B3" t="s">
        <v>30</v>
      </c>
      <c r="C3" s="10" t="s">
        <v>38</v>
      </c>
      <c r="E3" s="5" t="s">
        <v>16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L3" s="6" t="s">
        <v>69</v>
      </c>
      <c r="M3" s="6" t="s">
        <v>71</v>
      </c>
      <c r="N3" s="6" t="s">
        <v>70</v>
      </c>
      <c r="O3" s="6" t="s">
        <v>72</v>
      </c>
      <c r="P3" s="6" t="s">
        <v>73</v>
      </c>
      <c r="Q3" s="6" t="s">
        <v>74</v>
      </c>
      <c r="S3" t="s">
        <v>26</v>
      </c>
    </row>
    <row r="4" spans="2:19" x14ac:dyDescent="0.25">
      <c r="B4" t="s">
        <v>29</v>
      </c>
      <c r="C4" s="10" t="s">
        <v>36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L4" s="6"/>
      <c r="M4" s="6"/>
      <c r="N4" s="6"/>
      <c r="O4" s="6"/>
      <c r="P4" s="6"/>
      <c r="Q4" s="6"/>
    </row>
    <row r="5" spans="2:19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</row>
    <row r="6" spans="2:19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</row>
    <row r="7" spans="2:19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  <c r="L7" s="6"/>
      <c r="M7" s="6"/>
      <c r="N7" s="6"/>
      <c r="O7" s="6"/>
      <c r="P7" s="6"/>
      <c r="Q7" s="6"/>
    </row>
    <row r="10" spans="2:19" x14ac:dyDescent="0.25">
      <c r="B10" s="28" t="s">
        <v>18</v>
      </c>
      <c r="C10" s="28"/>
    </row>
    <row r="11" spans="2:19" x14ac:dyDescent="0.25">
      <c r="B11" s="1" t="s">
        <v>8</v>
      </c>
      <c r="C11" s="2" t="str">
        <f>Works_Sunday</f>
        <v>NO</v>
      </c>
    </row>
    <row r="12" spans="2:19" x14ac:dyDescent="0.25">
      <c r="B12" s="1" t="s">
        <v>9</v>
      </c>
      <c r="C12" s="2" t="str">
        <f>Works_Monday</f>
        <v>YES</v>
      </c>
    </row>
    <row r="13" spans="2:19" x14ac:dyDescent="0.25">
      <c r="B13" s="1" t="s">
        <v>10</v>
      </c>
      <c r="C13" s="2" t="str">
        <f>Works_Tuesday</f>
        <v>YES</v>
      </c>
    </row>
    <row r="14" spans="2:19" x14ac:dyDescent="0.25">
      <c r="B14" s="1" t="s">
        <v>11</v>
      </c>
      <c r="C14" s="2" t="str">
        <f>Works_Wednesday</f>
        <v>YES</v>
      </c>
    </row>
    <row r="15" spans="2:19" x14ac:dyDescent="0.25">
      <c r="B15" s="1" t="s">
        <v>12</v>
      </c>
      <c r="C15" s="2" t="str">
        <f>Works_Thrusday</f>
        <v>YES</v>
      </c>
    </row>
    <row r="16" spans="2:19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4EAED-D231-451E-A3F6-3F9337FBD94D}">
  <sheetPr codeName="Sheet6">
    <tabColor theme="5" tint="0.79998168889431442"/>
  </sheetPr>
  <dimension ref="B1:U18"/>
  <sheetViews>
    <sheetView workbookViewId="0">
      <selection activeCell="I29" sqref="I29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7.4257812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16</v>
      </c>
      <c r="N3" t="s">
        <v>76</v>
      </c>
      <c r="O3" t="s">
        <v>77</v>
      </c>
      <c r="P3" t="s">
        <v>69</v>
      </c>
      <c r="Q3" t="s">
        <v>71</v>
      </c>
      <c r="R3" t="s">
        <v>70</v>
      </c>
      <c r="S3" t="s">
        <v>72</v>
      </c>
      <c r="T3" t="s">
        <v>73</v>
      </c>
      <c r="U3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</row>
    <row r="10" spans="2:21" x14ac:dyDescent="0.25">
      <c r="B10" s="28" t="s">
        <v>18</v>
      </c>
      <c r="C10" s="28"/>
    </row>
    <row r="11" spans="2:21" x14ac:dyDescent="0.25">
      <c r="B11" s="1" t="s">
        <v>8</v>
      </c>
      <c r="C11" s="2" t="str">
        <f>Works_Sunday</f>
        <v>NO</v>
      </c>
    </row>
    <row r="12" spans="2:21" x14ac:dyDescent="0.25">
      <c r="B12" s="1" t="s">
        <v>9</v>
      </c>
      <c r="C12" s="2" t="str">
        <f>Works_Monday</f>
        <v>YES</v>
      </c>
    </row>
    <row r="13" spans="2:21" x14ac:dyDescent="0.25">
      <c r="B13" s="1" t="s">
        <v>10</v>
      </c>
      <c r="C13" s="2" t="str">
        <f>Works_Tuesday</f>
        <v>YES</v>
      </c>
    </row>
    <row r="14" spans="2:21" x14ac:dyDescent="0.25">
      <c r="B14" s="1" t="s">
        <v>11</v>
      </c>
      <c r="C14" s="2" t="str">
        <f>Works_Wednesday</f>
        <v>YES</v>
      </c>
    </row>
    <row r="15" spans="2:21" x14ac:dyDescent="0.25">
      <c r="B15" s="1" t="s">
        <v>12</v>
      </c>
      <c r="C15" s="2" t="str">
        <f>Works_Thrusday</f>
        <v>YES</v>
      </c>
    </row>
    <row r="16" spans="2:21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F188FC39-CDCD-41E3-8A95-35BF86E2D1DC}">
      <formula1>1</formula1>
    </dataValidation>
    <dataValidation type="list" showInputMessage="1" showErrorMessage="1" sqref="C11:C17" xr:uid="{AB5E27D2-ED62-48F9-970A-D3B164D0822B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AA41-10B1-46E6-92D0-A85939E589F8}">
  <sheetPr codeName="Sheet7">
    <tabColor theme="5" tint="0.79998168889431442"/>
  </sheetPr>
  <dimension ref="B1:U156"/>
  <sheetViews>
    <sheetView topLeftCell="B1" workbookViewId="0">
      <selection activeCell="K7" sqref="E4:K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9.710937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s="4" t="s">
        <v>16</v>
      </c>
      <c r="N3" s="4" t="s">
        <v>76</v>
      </c>
      <c r="O3" s="4" t="s">
        <v>77</v>
      </c>
      <c r="P3" s="4" t="s">
        <v>69</v>
      </c>
      <c r="Q3" s="4" t="s">
        <v>71</v>
      </c>
      <c r="R3" s="4" t="s">
        <v>70</v>
      </c>
      <c r="S3" s="4" t="s">
        <v>72</v>
      </c>
      <c r="T3" s="4" t="s">
        <v>73</v>
      </c>
      <c r="U3" s="4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M4" s="4">
        <v>43647</v>
      </c>
      <c r="N4" s="4"/>
      <c r="O4" s="4"/>
      <c r="P4" s="4"/>
      <c r="Q4" s="4"/>
      <c r="R4" s="4"/>
      <c r="S4" s="4"/>
      <c r="T4" s="4"/>
      <c r="U4" s="4"/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  <c r="M5" s="4">
        <v>43648</v>
      </c>
      <c r="N5" s="4"/>
      <c r="O5" s="4"/>
      <c r="P5" s="4"/>
      <c r="Q5" s="4"/>
      <c r="R5" s="4"/>
      <c r="S5" s="4"/>
      <c r="T5" s="4"/>
      <c r="U5" s="4"/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  <c r="M6" s="4">
        <v>43649</v>
      </c>
      <c r="N6" s="4"/>
      <c r="O6" s="4"/>
      <c r="P6" s="4"/>
      <c r="Q6" s="4"/>
      <c r="R6" s="4"/>
      <c r="S6" s="4"/>
      <c r="T6" s="4"/>
      <c r="U6" s="4"/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  <c r="M7" s="4">
        <v>43650</v>
      </c>
      <c r="N7" s="4"/>
      <c r="O7" s="4"/>
      <c r="P7" s="4"/>
      <c r="Q7" s="4"/>
      <c r="R7" s="4"/>
      <c r="S7" s="4"/>
      <c r="T7" s="4"/>
      <c r="U7" s="4"/>
    </row>
    <row r="8" spans="2:21" x14ac:dyDescent="0.25">
      <c r="M8" s="4">
        <v>43651</v>
      </c>
      <c r="N8" s="4"/>
      <c r="O8" s="4"/>
      <c r="P8" s="4"/>
      <c r="Q8" s="4"/>
      <c r="R8" s="4"/>
      <c r="S8" s="4"/>
      <c r="T8" s="4"/>
      <c r="U8" s="4"/>
    </row>
    <row r="9" spans="2:21" x14ac:dyDescent="0.25">
      <c r="M9" s="4">
        <v>43652</v>
      </c>
      <c r="N9" s="4"/>
      <c r="O9" s="4"/>
      <c r="P9" s="4"/>
      <c r="Q9" s="4"/>
      <c r="R9" s="4"/>
      <c r="S9" s="4"/>
      <c r="T9" s="4"/>
      <c r="U9" s="4"/>
    </row>
    <row r="10" spans="2:21" x14ac:dyDescent="0.25">
      <c r="B10" s="28" t="s">
        <v>18</v>
      </c>
      <c r="C10" s="28"/>
      <c r="M10" s="4">
        <v>43653</v>
      </c>
      <c r="N10" s="4"/>
      <c r="O10" s="4"/>
      <c r="P10" s="4"/>
      <c r="Q10" s="4"/>
      <c r="R10" s="4"/>
      <c r="S10" s="4"/>
      <c r="T10" s="4"/>
      <c r="U10" s="4"/>
    </row>
    <row r="11" spans="2:21" x14ac:dyDescent="0.25">
      <c r="B11" s="1" t="s">
        <v>8</v>
      </c>
      <c r="C11" s="2" t="str">
        <f>Works_Sunday</f>
        <v>NO</v>
      </c>
      <c r="M11" s="4">
        <v>43654</v>
      </c>
      <c r="N11" s="4"/>
      <c r="O11" s="4"/>
      <c r="P11" s="4"/>
      <c r="Q11" s="4"/>
      <c r="R11" s="4"/>
      <c r="S11" s="4"/>
      <c r="T11" s="4"/>
      <c r="U11" s="4"/>
    </row>
    <row r="12" spans="2:21" x14ac:dyDescent="0.25">
      <c r="B12" s="1" t="s">
        <v>9</v>
      </c>
      <c r="C12" s="2" t="str">
        <f>Works_Monday</f>
        <v>YES</v>
      </c>
      <c r="M12" s="4">
        <v>43655</v>
      </c>
      <c r="N12" s="4"/>
      <c r="O12" s="4"/>
      <c r="P12" s="4"/>
      <c r="Q12" s="4"/>
      <c r="R12" s="4"/>
      <c r="S12" s="4"/>
      <c r="T12" s="4"/>
      <c r="U12" s="4"/>
    </row>
    <row r="13" spans="2:21" x14ac:dyDescent="0.25">
      <c r="B13" s="1" t="s">
        <v>10</v>
      </c>
      <c r="C13" s="2" t="str">
        <f>Works_Tuesday</f>
        <v>YES</v>
      </c>
      <c r="M13" s="4">
        <v>43656</v>
      </c>
      <c r="N13" s="4"/>
      <c r="O13" s="4"/>
      <c r="P13" s="4"/>
      <c r="Q13" s="4"/>
      <c r="R13" s="4"/>
      <c r="S13" s="4"/>
      <c r="T13" s="4"/>
      <c r="U13" s="4"/>
    </row>
    <row r="14" spans="2:21" x14ac:dyDescent="0.25">
      <c r="B14" s="1" t="s">
        <v>11</v>
      </c>
      <c r="C14" s="2" t="str">
        <f>Works_Wednesday</f>
        <v>YES</v>
      </c>
      <c r="M14" s="4">
        <v>43657</v>
      </c>
      <c r="N14" s="4"/>
      <c r="O14" s="4"/>
      <c r="P14" s="4"/>
      <c r="Q14" s="4"/>
      <c r="R14" s="4"/>
      <c r="S14" s="4"/>
      <c r="T14" s="4"/>
      <c r="U14" s="4"/>
    </row>
    <row r="15" spans="2:21" x14ac:dyDescent="0.25">
      <c r="B15" s="1" t="s">
        <v>12</v>
      </c>
      <c r="C15" s="2" t="str">
        <f>Works_Thrusday</f>
        <v>YES</v>
      </c>
      <c r="M15" s="4">
        <v>43658</v>
      </c>
      <c r="N15" s="4"/>
      <c r="O15" s="4"/>
      <c r="P15" s="4"/>
      <c r="Q15" s="4"/>
      <c r="R15" s="4"/>
      <c r="S15" s="4"/>
      <c r="T15" s="4"/>
      <c r="U15" s="4"/>
    </row>
    <row r="16" spans="2:21" x14ac:dyDescent="0.25">
      <c r="B16" s="1" t="s">
        <v>13</v>
      </c>
      <c r="C16" s="2" t="str">
        <f>Works_Friday</f>
        <v>YES</v>
      </c>
      <c r="M16" s="4">
        <v>43659</v>
      </c>
      <c r="N16" s="4"/>
      <c r="O16" s="4"/>
      <c r="P16" s="4"/>
      <c r="Q16" s="4"/>
      <c r="R16" s="4"/>
      <c r="S16" s="4"/>
      <c r="T16" s="4"/>
      <c r="U16" s="4"/>
    </row>
    <row r="17" spans="2:21" x14ac:dyDescent="0.25">
      <c r="B17" s="1" t="s">
        <v>14</v>
      </c>
      <c r="C17" s="2" t="str">
        <f>Works_Saturday</f>
        <v>NO</v>
      </c>
      <c r="M17" s="4">
        <v>43660</v>
      </c>
      <c r="N17" s="4"/>
      <c r="O17" s="4"/>
      <c r="P17" s="4"/>
      <c r="Q17" s="4"/>
      <c r="R17" s="4"/>
      <c r="S17" s="4"/>
      <c r="T17" s="4"/>
      <c r="U17" s="4"/>
    </row>
    <row r="18" spans="2:21" x14ac:dyDescent="0.25">
      <c r="B18" s="1" t="s">
        <v>17</v>
      </c>
      <c r="C18" s="13">
        <f>Schedule_Run_Date</f>
        <v>43466</v>
      </c>
      <c r="M18" s="4">
        <v>43661</v>
      </c>
      <c r="N18" s="4"/>
      <c r="O18" s="4"/>
      <c r="P18" s="4"/>
      <c r="Q18" s="4"/>
      <c r="R18" s="4"/>
      <c r="S18" s="4"/>
      <c r="T18" s="4"/>
      <c r="U18" s="4"/>
    </row>
    <row r="19" spans="2:21" x14ac:dyDescent="0.25">
      <c r="M19" s="4">
        <v>43662</v>
      </c>
      <c r="N19" s="4"/>
      <c r="O19" s="4"/>
      <c r="P19" s="4"/>
      <c r="Q19" s="4"/>
      <c r="R19" s="4"/>
      <c r="S19" s="4"/>
      <c r="T19" s="4"/>
      <c r="U19" s="4"/>
    </row>
    <row r="20" spans="2:21" x14ac:dyDescent="0.25">
      <c r="M20" s="4">
        <v>43663</v>
      </c>
      <c r="N20" s="4"/>
      <c r="O20" s="4"/>
      <c r="P20" s="4"/>
      <c r="Q20" s="4"/>
      <c r="R20" s="4"/>
      <c r="S20" s="4"/>
      <c r="T20" s="4"/>
      <c r="U20" s="4"/>
    </row>
    <row r="21" spans="2:21" x14ac:dyDescent="0.25">
      <c r="M21" s="4">
        <v>43664</v>
      </c>
      <c r="N21" s="4"/>
      <c r="O21" s="4"/>
      <c r="P21" s="4"/>
      <c r="Q21" s="4"/>
      <c r="R21" s="4"/>
      <c r="S21" s="4"/>
      <c r="T21" s="4"/>
      <c r="U21" s="4"/>
    </row>
    <row r="22" spans="2:21" x14ac:dyDescent="0.25">
      <c r="M22" s="4">
        <v>43665</v>
      </c>
      <c r="N22" s="4"/>
      <c r="O22" s="4"/>
      <c r="P22" s="4"/>
      <c r="Q22" s="4"/>
      <c r="R22" s="4"/>
      <c r="S22" s="4"/>
      <c r="T22" s="4"/>
      <c r="U22" s="4"/>
    </row>
    <row r="23" spans="2:21" x14ac:dyDescent="0.25">
      <c r="M23" s="4">
        <v>43666</v>
      </c>
      <c r="N23" s="4"/>
      <c r="O23" s="4"/>
      <c r="P23" s="4"/>
      <c r="Q23" s="4"/>
      <c r="R23" s="4"/>
      <c r="S23" s="4"/>
      <c r="T23" s="4"/>
      <c r="U23" s="4"/>
    </row>
    <row r="24" spans="2:21" x14ac:dyDescent="0.25">
      <c r="M24" s="4">
        <v>43667</v>
      </c>
      <c r="N24" s="4"/>
      <c r="O24" s="4"/>
      <c r="P24" s="4"/>
      <c r="Q24" s="4"/>
      <c r="R24" s="4"/>
      <c r="S24" s="4"/>
      <c r="T24" s="4"/>
      <c r="U24" s="4"/>
    </row>
    <row r="25" spans="2:21" x14ac:dyDescent="0.25">
      <c r="M25" s="4">
        <v>43668</v>
      </c>
      <c r="N25" s="4"/>
      <c r="O25" s="4"/>
      <c r="P25" s="4"/>
      <c r="Q25" s="4"/>
      <c r="R25" s="4"/>
      <c r="S25" s="4"/>
      <c r="T25" s="4"/>
      <c r="U25" s="4"/>
    </row>
    <row r="26" spans="2:21" x14ac:dyDescent="0.25">
      <c r="M26" s="4">
        <v>43669</v>
      </c>
      <c r="N26" s="4"/>
      <c r="O26" s="4"/>
      <c r="P26" s="4"/>
      <c r="Q26" s="4"/>
      <c r="R26" s="4"/>
      <c r="S26" s="4"/>
      <c r="T26" s="4"/>
      <c r="U26" s="4"/>
    </row>
    <row r="27" spans="2:21" x14ac:dyDescent="0.25">
      <c r="M27" s="4">
        <v>43670</v>
      </c>
      <c r="N27" s="4"/>
      <c r="O27" s="4"/>
      <c r="P27" s="4"/>
      <c r="Q27" s="4"/>
      <c r="R27" s="4"/>
      <c r="S27" s="4"/>
      <c r="T27" s="4"/>
      <c r="U27" s="4"/>
    </row>
    <row r="28" spans="2:21" x14ac:dyDescent="0.25">
      <c r="M28" s="4">
        <v>43671</v>
      </c>
      <c r="N28" s="4"/>
      <c r="O28" s="4"/>
      <c r="P28" s="4"/>
      <c r="Q28" s="4"/>
      <c r="R28" s="4"/>
      <c r="S28" s="4"/>
      <c r="T28" s="4"/>
      <c r="U28" s="4"/>
    </row>
    <row r="29" spans="2:21" x14ac:dyDescent="0.25">
      <c r="M29" s="4">
        <v>43672</v>
      </c>
      <c r="N29" s="4"/>
      <c r="O29" s="4"/>
      <c r="P29" s="4"/>
      <c r="Q29" s="4"/>
      <c r="R29" s="4"/>
      <c r="S29" s="4"/>
      <c r="T29" s="4"/>
      <c r="U29" s="4"/>
    </row>
    <row r="30" spans="2:21" x14ac:dyDescent="0.25">
      <c r="M30" s="4">
        <v>43673</v>
      </c>
      <c r="N30" s="4"/>
      <c r="O30" s="4"/>
      <c r="P30" s="4"/>
      <c r="Q30" s="4"/>
      <c r="R30" s="4"/>
      <c r="S30" s="4"/>
      <c r="T30" s="4"/>
      <c r="U30" s="4"/>
    </row>
    <row r="31" spans="2:21" x14ac:dyDescent="0.25">
      <c r="M31" s="4">
        <v>43674</v>
      </c>
      <c r="N31" s="4"/>
      <c r="O31" s="4"/>
      <c r="P31" s="4"/>
      <c r="Q31" s="4"/>
      <c r="R31" s="4"/>
      <c r="S31" s="4"/>
      <c r="T31" s="4"/>
      <c r="U31" s="4"/>
    </row>
    <row r="32" spans="2:21" x14ac:dyDescent="0.25">
      <c r="M32" s="4">
        <v>43675</v>
      </c>
      <c r="N32" s="4"/>
      <c r="O32" s="4"/>
      <c r="P32" s="4"/>
      <c r="Q32" s="4"/>
      <c r="R32" s="4"/>
      <c r="S32" s="4"/>
      <c r="T32" s="4"/>
      <c r="U32" s="4"/>
    </row>
    <row r="33" spans="13:21" x14ac:dyDescent="0.25">
      <c r="M33" s="4">
        <v>43676</v>
      </c>
      <c r="N33" s="4"/>
      <c r="O33" s="4"/>
      <c r="P33" s="4"/>
      <c r="Q33" s="4"/>
      <c r="R33" s="4"/>
      <c r="S33" s="4"/>
      <c r="T33" s="4"/>
      <c r="U33" s="4"/>
    </row>
    <row r="34" spans="13:21" x14ac:dyDescent="0.25">
      <c r="M34" s="4">
        <v>43677</v>
      </c>
      <c r="N34" s="4"/>
      <c r="O34" s="4"/>
      <c r="P34" s="4"/>
      <c r="Q34" s="4"/>
      <c r="R34" s="4"/>
      <c r="S34" s="4"/>
      <c r="T34" s="4"/>
      <c r="U34" s="4"/>
    </row>
    <row r="35" spans="13:21" x14ac:dyDescent="0.25">
      <c r="M35" s="4">
        <v>43678</v>
      </c>
      <c r="N35" s="4"/>
      <c r="O35" s="4"/>
      <c r="P35" s="4"/>
      <c r="Q35" s="4"/>
      <c r="R35" s="4"/>
      <c r="S35" s="4"/>
      <c r="T35" s="4"/>
      <c r="U35" s="4"/>
    </row>
    <row r="36" spans="13:21" x14ac:dyDescent="0.25">
      <c r="M36" s="4">
        <v>43679</v>
      </c>
      <c r="N36" s="4"/>
      <c r="O36" s="4"/>
      <c r="P36" s="4"/>
      <c r="Q36" s="4"/>
      <c r="R36" s="4"/>
      <c r="S36" s="4"/>
      <c r="T36" s="4"/>
      <c r="U36" s="4"/>
    </row>
    <row r="37" spans="13:21" x14ac:dyDescent="0.25">
      <c r="M37" s="4">
        <v>43680</v>
      </c>
      <c r="N37" s="4"/>
      <c r="O37" s="4"/>
      <c r="P37" s="4"/>
      <c r="Q37" s="4"/>
      <c r="R37" s="4"/>
      <c r="S37" s="4"/>
      <c r="T37" s="4"/>
      <c r="U37" s="4"/>
    </row>
    <row r="38" spans="13:21" x14ac:dyDescent="0.25">
      <c r="M38" s="4">
        <v>43681</v>
      </c>
      <c r="N38" s="4"/>
      <c r="O38" s="4"/>
      <c r="P38" s="4"/>
      <c r="Q38" s="4"/>
      <c r="R38" s="4"/>
      <c r="S38" s="4"/>
      <c r="T38" s="4"/>
      <c r="U38" s="4"/>
    </row>
    <row r="39" spans="13:21" x14ac:dyDescent="0.25">
      <c r="M39" s="4">
        <v>43682</v>
      </c>
      <c r="N39" s="4"/>
      <c r="O39" s="4"/>
      <c r="P39" s="4"/>
      <c r="Q39" s="4"/>
      <c r="R39" s="4"/>
      <c r="S39" s="4"/>
      <c r="T39" s="4"/>
      <c r="U39" s="4"/>
    </row>
    <row r="40" spans="13:21" x14ac:dyDescent="0.25">
      <c r="M40" s="4">
        <v>43683</v>
      </c>
      <c r="N40" s="4"/>
      <c r="O40" s="4"/>
      <c r="P40" s="4"/>
      <c r="Q40" s="4"/>
      <c r="R40" s="4"/>
      <c r="S40" s="4"/>
      <c r="T40" s="4"/>
      <c r="U40" s="4"/>
    </row>
    <row r="41" spans="13:21" x14ac:dyDescent="0.25">
      <c r="M41" s="4">
        <v>43684</v>
      </c>
      <c r="N41" s="4"/>
      <c r="O41" s="4"/>
      <c r="P41" s="4"/>
      <c r="Q41" s="4"/>
      <c r="R41" s="4"/>
      <c r="S41" s="4"/>
      <c r="T41" s="4"/>
      <c r="U41" s="4"/>
    </row>
    <row r="42" spans="13:21" x14ac:dyDescent="0.25">
      <c r="M42" s="4">
        <v>43685</v>
      </c>
      <c r="N42" s="4"/>
      <c r="O42" s="4"/>
      <c r="P42" s="4"/>
      <c r="Q42" s="4"/>
      <c r="R42" s="4"/>
      <c r="S42" s="4"/>
      <c r="T42" s="4"/>
      <c r="U42" s="4"/>
    </row>
    <row r="43" spans="13:21" x14ac:dyDescent="0.25">
      <c r="M43" s="4">
        <v>43686</v>
      </c>
      <c r="N43" s="4"/>
      <c r="O43" s="4"/>
      <c r="P43" s="4"/>
      <c r="Q43" s="4"/>
      <c r="R43" s="4"/>
      <c r="S43" s="4"/>
      <c r="T43" s="4"/>
      <c r="U43" s="4"/>
    </row>
    <row r="44" spans="13:21" x14ac:dyDescent="0.25">
      <c r="M44" s="4">
        <v>43687</v>
      </c>
      <c r="N44" s="4"/>
      <c r="O44" s="4"/>
      <c r="P44" s="4"/>
      <c r="Q44" s="4"/>
      <c r="R44" s="4"/>
      <c r="S44" s="4"/>
      <c r="T44" s="4"/>
      <c r="U44" s="4"/>
    </row>
    <row r="45" spans="13:21" x14ac:dyDescent="0.25">
      <c r="M45" s="4">
        <v>43688</v>
      </c>
      <c r="N45" s="4"/>
      <c r="O45" s="4"/>
      <c r="P45" s="4"/>
      <c r="Q45" s="4"/>
      <c r="R45" s="4"/>
      <c r="S45" s="4"/>
      <c r="T45" s="4"/>
      <c r="U45" s="4"/>
    </row>
    <row r="46" spans="13:21" x14ac:dyDescent="0.25">
      <c r="M46" s="4">
        <v>43689</v>
      </c>
      <c r="N46" s="4"/>
      <c r="O46" s="4"/>
      <c r="P46" s="4"/>
      <c r="Q46" s="4"/>
      <c r="R46" s="4"/>
      <c r="S46" s="4"/>
      <c r="T46" s="4"/>
      <c r="U46" s="4"/>
    </row>
    <row r="47" spans="13:21" x14ac:dyDescent="0.25">
      <c r="M47" s="4">
        <v>43690</v>
      </c>
      <c r="N47" s="4"/>
      <c r="O47" s="4"/>
      <c r="P47" s="4"/>
      <c r="Q47" s="4"/>
      <c r="R47" s="4"/>
      <c r="S47" s="4"/>
      <c r="T47" s="4"/>
      <c r="U47" s="4"/>
    </row>
    <row r="48" spans="13:21" x14ac:dyDescent="0.25">
      <c r="M48" s="4">
        <v>43691</v>
      </c>
      <c r="N48" s="4"/>
      <c r="O48" s="4"/>
      <c r="P48" s="4"/>
      <c r="Q48" s="4"/>
      <c r="R48" s="4"/>
      <c r="S48" s="4"/>
      <c r="T48" s="4"/>
      <c r="U48" s="4"/>
    </row>
    <row r="49" spans="13:21" x14ac:dyDescent="0.25">
      <c r="M49" s="4">
        <v>43692</v>
      </c>
      <c r="N49" s="4"/>
      <c r="O49" s="4"/>
      <c r="P49" s="4"/>
      <c r="Q49" s="4"/>
      <c r="R49" s="4"/>
      <c r="S49" s="4"/>
      <c r="T49" s="4"/>
      <c r="U49" s="4"/>
    </row>
    <row r="50" spans="13:21" x14ac:dyDescent="0.25">
      <c r="M50" s="4">
        <v>43693</v>
      </c>
      <c r="N50" s="4"/>
      <c r="O50" s="4"/>
      <c r="P50" s="4"/>
      <c r="Q50" s="4"/>
      <c r="R50" s="4"/>
      <c r="S50" s="4"/>
      <c r="T50" s="4"/>
      <c r="U50" s="4"/>
    </row>
    <row r="51" spans="13:21" x14ac:dyDescent="0.25">
      <c r="M51" s="4">
        <v>43694</v>
      </c>
      <c r="N51" s="4"/>
      <c r="O51" s="4"/>
      <c r="P51" s="4"/>
      <c r="Q51" s="4"/>
      <c r="R51" s="4"/>
      <c r="S51" s="4"/>
      <c r="T51" s="4"/>
      <c r="U51" s="4"/>
    </row>
    <row r="52" spans="13:21" x14ac:dyDescent="0.25">
      <c r="M52" s="4">
        <v>43695</v>
      </c>
      <c r="N52" s="4"/>
      <c r="O52" s="4"/>
      <c r="P52" s="4"/>
      <c r="Q52" s="4"/>
      <c r="R52" s="4"/>
      <c r="S52" s="4"/>
      <c r="T52" s="4"/>
      <c r="U52" s="4"/>
    </row>
    <row r="53" spans="13:21" x14ac:dyDescent="0.25">
      <c r="M53" s="4">
        <v>43696</v>
      </c>
      <c r="N53" s="4"/>
      <c r="O53" s="4"/>
      <c r="P53" s="4"/>
      <c r="Q53" s="4"/>
      <c r="R53" s="4"/>
      <c r="S53" s="4"/>
      <c r="T53" s="4"/>
      <c r="U53" s="4"/>
    </row>
    <row r="54" spans="13:21" x14ac:dyDescent="0.25">
      <c r="M54" s="4">
        <v>43697</v>
      </c>
      <c r="N54" s="4"/>
      <c r="O54" s="4"/>
      <c r="P54" s="4"/>
      <c r="Q54" s="4"/>
      <c r="R54" s="4"/>
      <c r="S54" s="4"/>
      <c r="T54" s="4"/>
      <c r="U54" s="4"/>
    </row>
    <row r="55" spans="13:21" x14ac:dyDescent="0.25">
      <c r="M55" s="4">
        <v>43698</v>
      </c>
      <c r="N55" s="4"/>
      <c r="O55" s="4"/>
      <c r="P55" s="4"/>
      <c r="Q55" s="4"/>
      <c r="R55" s="4"/>
      <c r="S55" s="4"/>
      <c r="T55" s="4"/>
      <c r="U55" s="4"/>
    </row>
    <row r="56" spans="13:21" x14ac:dyDescent="0.25">
      <c r="M56" s="4">
        <v>43699</v>
      </c>
      <c r="N56" s="4"/>
      <c r="O56" s="4"/>
      <c r="P56" s="4"/>
      <c r="Q56" s="4"/>
      <c r="R56" s="4"/>
      <c r="S56" s="4"/>
      <c r="T56" s="4"/>
      <c r="U56" s="4"/>
    </row>
    <row r="57" spans="13:21" x14ac:dyDescent="0.25">
      <c r="M57" s="4">
        <v>43700</v>
      </c>
      <c r="N57" s="4"/>
      <c r="O57" s="4"/>
      <c r="P57" s="4"/>
      <c r="Q57" s="4"/>
      <c r="R57" s="4"/>
      <c r="S57" s="4"/>
      <c r="T57" s="4"/>
      <c r="U57" s="4"/>
    </row>
    <row r="58" spans="13:21" x14ac:dyDescent="0.25">
      <c r="M58" s="4">
        <v>43701</v>
      </c>
      <c r="N58" s="4"/>
      <c r="O58" s="4"/>
      <c r="P58" s="4"/>
      <c r="Q58" s="4"/>
      <c r="R58" s="4"/>
      <c r="S58" s="4"/>
      <c r="T58" s="4"/>
      <c r="U58" s="4"/>
    </row>
    <row r="59" spans="13:21" x14ac:dyDescent="0.25">
      <c r="M59" s="4">
        <v>43702</v>
      </c>
      <c r="N59" s="4"/>
      <c r="O59" s="4"/>
      <c r="P59" s="4"/>
      <c r="Q59" s="4"/>
      <c r="R59" s="4"/>
      <c r="S59" s="4"/>
      <c r="T59" s="4"/>
      <c r="U59" s="4"/>
    </row>
    <row r="60" spans="13:21" x14ac:dyDescent="0.25">
      <c r="M60" s="4">
        <v>43703</v>
      </c>
      <c r="N60" s="4"/>
      <c r="O60" s="4"/>
      <c r="P60" s="4"/>
      <c r="Q60" s="4"/>
      <c r="R60" s="4"/>
      <c r="S60" s="4"/>
      <c r="T60" s="4"/>
      <c r="U60" s="4"/>
    </row>
    <row r="61" spans="13:21" x14ac:dyDescent="0.25">
      <c r="M61" s="4">
        <v>43704</v>
      </c>
      <c r="N61" s="4"/>
      <c r="O61" s="4"/>
      <c r="P61" s="4"/>
      <c r="Q61" s="4"/>
      <c r="R61" s="4"/>
      <c r="S61" s="4"/>
      <c r="T61" s="4"/>
      <c r="U61" s="4"/>
    </row>
    <row r="62" spans="13:21" x14ac:dyDescent="0.25">
      <c r="M62" s="4">
        <v>43705</v>
      </c>
      <c r="N62" s="4"/>
      <c r="O62" s="4"/>
      <c r="P62" s="4"/>
      <c r="Q62" s="4"/>
      <c r="R62" s="4"/>
      <c r="S62" s="4"/>
      <c r="T62" s="4"/>
      <c r="U62" s="4"/>
    </row>
    <row r="63" spans="13:21" x14ac:dyDescent="0.25">
      <c r="M63" s="4">
        <v>43706</v>
      </c>
      <c r="N63" s="4"/>
      <c r="O63" s="4"/>
      <c r="P63" s="4"/>
      <c r="Q63" s="4"/>
      <c r="R63" s="4"/>
      <c r="S63" s="4"/>
      <c r="T63" s="4"/>
      <c r="U63" s="4"/>
    </row>
    <row r="64" spans="13:21" x14ac:dyDescent="0.25">
      <c r="M64" s="4">
        <v>43707</v>
      </c>
      <c r="N64" s="4"/>
      <c r="O64" s="4"/>
      <c r="P64" s="4"/>
      <c r="Q64" s="4"/>
      <c r="R64" s="4"/>
      <c r="S64" s="4"/>
      <c r="T64" s="4"/>
      <c r="U64" s="4"/>
    </row>
    <row r="65" spans="13:21" x14ac:dyDescent="0.25">
      <c r="M65" s="4">
        <v>43708</v>
      </c>
      <c r="N65" s="4"/>
      <c r="O65" s="4"/>
      <c r="P65" s="4"/>
      <c r="Q65" s="4"/>
      <c r="R65" s="4"/>
      <c r="S65" s="4"/>
      <c r="T65" s="4"/>
      <c r="U65" s="4"/>
    </row>
    <row r="66" spans="13:21" x14ac:dyDescent="0.25">
      <c r="M66" s="4">
        <v>43709</v>
      </c>
      <c r="N66" s="4"/>
      <c r="O66" s="4"/>
      <c r="P66" s="4"/>
      <c r="Q66" s="4"/>
      <c r="R66" s="4"/>
      <c r="S66" s="4"/>
      <c r="T66" s="4"/>
      <c r="U66" s="4"/>
    </row>
    <row r="67" spans="13:21" x14ac:dyDescent="0.25">
      <c r="M67" s="4">
        <v>43710</v>
      </c>
      <c r="N67" s="4"/>
      <c r="O67" s="4"/>
      <c r="P67" s="4"/>
      <c r="Q67" s="4"/>
      <c r="R67" s="4"/>
      <c r="S67" s="4"/>
      <c r="T67" s="4"/>
      <c r="U67" s="4"/>
    </row>
    <row r="68" spans="13:21" x14ac:dyDescent="0.25">
      <c r="M68" s="4">
        <v>43711</v>
      </c>
      <c r="N68" s="4"/>
      <c r="O68" s="4"/>
      <c r="P68" s="4"/>
      <c r="Q68" s="4"/>
      <c r="R68" s="4"/>
      <c r="S68" s="4"/>
      <c r="T68" s="4"/>
      <c r="U68" s="4"/>
    </row>
    <row r="69" spans="13:21" x14ac:dyDescent="0.25">
      <c r="M69" s="4">
        <v>43712</v>
      </c>
      <c r="N69" s="4"/>
      <c r="O69" s="4"/>
      <c r="P69" s="4"/>
      <c r="Q69" s="4"/>
      <c r="R69" s="4"/>
      <c r="S69" s="4"/>
      <c r="T69" s="4"/>
      <c r="U69" s="4"/>
    </row>
    <row r="70" spans="13:21" x14ac:dyDescent="0.25">
      <c r="M70" s="4">
        <v>43713</v>
      </c>
      <c r="N70" s="4"/>
      <c r="O70" s="4"/>
      <c r="P70" s="4"/>
      <c r="Q70" s="4"/>
      <c r="R70" s="4"/>
      <c r="S70" s="4"/>
      <c r="T70" s="4"/>
      <c r="U70" s="4"/>
    </row>
    <row r="71" spans="13:21" x14ac:dyDescent="0.25">
      <c r="M71" s="4">
        <v>43714</v>
      </c>
      <c r="N71" s="4"/>
      <c r="O71" s="4"/>
      <c r="P71" s="4"/>
      <c r="Q71" s="4"/>
      <c r="R71" s="4"/>
      <c r="S71" s="4"/>
      <c r="T71" s="4"/>
      <c r="U71" s="4"/>
    </row>
    <row r="72" spans="13:21" x14ac:dyDescent="0.25">
      <c r="M72" s="4">
        <v>43715</v>
      </c>
      <c r="N72" s="4"/>
      <c r="O72" s="4"/>
      <c r="P72" s="4"/>
      <c r="Q72" s="4"/>
      <c r="R72" s="4"/>
      <c r="S72" s="4"/>
      <c r="T72" s="4"/>
      <c r="U72" s="4"/>
    </row>
    <row r="73" spans="13:21" x14ac:dyDescent="0.25">
      <c r="M73" s="4">
        <v>43716</v>
      </c>
      <c r="N73" s="4"/>
      <c r="O73" s="4"/>
      <c r="P73" s="4"/>
      <c r="Q73" s="4"/>
      <c r="R73" s="4"/>
      <c r="S73" s="4"/>
      <c r="T73" s="4"/>
      <c r="U73" s="4"/>
    </row>
    <row r="74" spans="13:21" x14ac:dyDescent="0.25">
      <c r="M74" s="4">
        <v>43717</v>
      </c>
      <c r="N74" s="4"/>
      <c r="O74" s="4"/>
      <c r="P74" s="4"/>
      <c r="Q74" s="4"/>
      <c r="R74" s="4"/>
      <c r="S74" s="4"/>
      <c r="T74" s="4"/>
      <c r="U74" s="4"/>
    </row>
    <row r="75" spans="13:21" x14ac:dyDescent="0.25">
      <c r="M75" s="4">
        <v>43718</v>
      </c>
      <c r="N75" s="4"/>
      <c r="O75" s="4"/>
      <c r="P75" s="4"/>
      <c r="Q75" s="4"/>
      <c r="R75" s="4"/>
      <c r="S75" s="4"/>
      <c r="T75" s="4"/>
      <c r="U75" s="4"/>
    </row>
    <row r="76" spans="13:21" x14ac:dyDescent="0.25">
      <c r="M76" s="4">
        <v>43719</v>
      </c>
      <c r="N76" s="4"/>
      <c r="O76" s="4"/>
      <c r="P76" s="4"/>
      <c r="Q76" s="4"/>
      <c r="R76" s="4"/>
      <c r="S76" s="4"/>
      <c r="T76" s="4"/>
      <c r="U76" s="4"/>
    </row>
    <row r="77" spans="13:21" x14ac:dyDescent="0.25">
      <c r="M77" s="4">
        <v>43720</v>
      </c>
      <c r="N77" s="4"/>
      <c r="O77" s="4"/>
      <c r="P77" s="4"/>
      <c r="Q77" s="4"/>
      <c r="R77" s="4"/>
      <c r="S77" s="4"/>
      <c r="T77" s="4"/>
      <c r="U77" s="4"/>
    </row>
    <row r="78" spans="13:21" x14ac:dyDescent="0.25">
      <c r="M78" s="4">
        <v>43721</v>
      </c>
      <c r="N78" s="4"/>
      <c r="O78" s="4"/>
      <c r="P78" s="4"/>
      <c r="Q78" s="4"/>
      <c r="R78" s="4"/>
      <c r="S78" s="4"/>
      <c r="T78" s="4"/>
      <c r="U78" s="4"/>
    </row>
    <row r="79" spans="13:21" x14ac:dyDescent="0.25">
      <c r="M79" s="4">
        <v>43722</v>
      </c>
      <c r="N79" s="4"/>
      <c r="O79" s="4"/>
      <c r="P79" s="4"/>
      <c r="Q79" s="4"/>
      <c r="R79" s="4"/>
      <c r="S79" s="4"/>
      <c r="T79" s="4"/>
      <c r="U79" s="4"/>
    </row>
    <row r="80" spans="13:21" x14ac:dyDescent="0.25">
      <c r="M80" s="4">
        <v>43723</v>
      </c>
      <c r="N80" s="4"/>
      <c r="O80" s="4"/>
      <c r="P80" s="4"/>
      <c r="Q80" s="4"/>
      <c r="R80" s="4"/>
      <c r="S80" s="4"/>
      <c r="T80" s="4"/>
      <c r="U80" s="4"/>
    </row>
    <row r="156" spans="13:21" x14ac:dyDescent="0.25">
      <c r="M156" s="4"/>
      <c r="N156" s="4"/>
      <c r="O156" s="4"/>
      <c r="P156" s="4"/>
      <c r="Q156" s="4"/>
      <c r="R156" s="4"/>
      <c r="S156" s="4"/>
      <c r="T156" s="4"/>
      <c r="U156" s="4"/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327B684F-FF4E-40E1-BDA2-A2237EA9F03D}">
      <formula1>1</formula1>
    </dataValidation>
    <dataValidation type="list" showInputMessage="1" showErrorMessage="1" sqref="C11:C17" xr:uid="{48252C03-85BA-4F22-9A8D-AF86556E0C87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4E73B-A14A-4F3F-819A-381B0530315A}">
  <sheetPr codeName="Sheet8">
    <tabColor theme="5" tint="0.79998168889431442"/>
  </sheetPr>
  <dimension ref="B1:U83"/>
  <sheetViews>
    <sheetView tabSelected="1" topLeftCell="C1" workbookViewId="0">
      <selection activeCell="J19" sqref="J19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9.710937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16</v>
      </c>
      <c r="N3" t="s">
        <v>76</v>
      </c>
      <c r="O3" t="s">
        <v>77</v>
      </c>
      <c r="P3" t="s">
        <v>69</v>
      </c>
      <c r="Q3" t="s">
        <v>71</v>
      </c>
      <c r="R3" t="s">
        <v>70</v>
      </c>
      <c r="S3" t="s">
        <v>72</v>
      </c>
      <c r="T3" t="s">
        <v>73</v>
      </c>
      <c r="U3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M4" s="4">
        <v>43647</v>
      </c>
      <c r="N4">
        <v>23.80952380952381</v>
      </c>
      <c r="O4">
        <v>1</v>
      </c>
      <c r="P4">
        <v>0</v>
      </c>
      <c r="Q4">
        <v>1</v>
      </c>
      <c r="R4">
        <v>0</v>
      </c>
      <c r="S4">
        <v>1</v>
      </c>
      <c r="T4">
        <v>0</v>
      </c>
      <c r="U4">
        <v>1</v>
      </c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  <c r="M5" s="4">
        <v>43648</v>
      </c>
      <c r="N5">
        <v>23.80952380952381</v>
      </c>
      <c r="O5">
        <v>2</v>
      </c>
      <c r="P5">
        <v>0</v>
      </c>
      <c r="Q5">
        <v>2</v>
      </c>
      <c r="R5">
        <v>0</v>
      </c>
      <c r="S5">
        <v>2</v>
      </c>
      <c r="T5">
        <v>0</v>
      </c>
      <c r="U5">
        <v>2</v>
      </c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  <c r="M6" s="4">
        <v>43649</v>
      </c>
      <c r="N6">
        <v>23.80952380952381</v>
      </c>
      <c r="O6">
        <v>3</v>
      </c>
      <c r="P6">
        <v>0</v>
      </c>
      <c r="Q6">
        <v>3</v>
      </c>
      <c r="R6">
        <v>0</v>
      </c>
      <c r="S6">
        <v>3</v>
      </c>
      <c r="T6">
        <v>0</v>
      </c>
      <c r="U6">
        <v>3</v>
      </c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43726</v>
      </c>
      <c r="J7" s="6">
        <v>500</v>
      </c>
      <c r="K7" s="6">
        <v>0</v>
      </c>
      <c r="M7" s="4">
        <v>43650</v>
      </c>
      <c r="N7">
        <v>0</v>
      </c>
      <c r="O7">
        <v>4</v>
      </c>
      <c r="P7">
        <v>0</v>
      </c>
      <c r="Q7">
        <v>4</v>
      </c>
      <c r="R7">
        <v>0</v>
      </c>
      <c r="S7">
        <v>4</v>
      </c>
      <c r="T7">
        <v>0</v>
      </c>
      <c r="U7">
        <v>4</v>
      </c>
    </row>
    <row r="8" spans="2:21" x14ac:dyDescent="0.25">
      <c r="E8" s="23" t="s">
        <v>80</v>
      </c>
      <c r="F8" s="6" t="s">
        <v>68</v>
      </c>
      <c r="G8" s="6"/>
      <c r="H8" s="25">
        <v>43709</v>
      </c>
      <c r="I8" s="25">
        <v>43738</v>
      </c>
      <c r="J8" s="6">
        <v>500</v>
      </c>
      <c r="K8" s="6">
        <v>0</v>
      </c>
      <c r="M8" s="4">
        <v>43651</v>
      </c>
      <c r="N8">
        <v>23.80952380952381</v>
      </c>
      <c r="O8">
        <v>5</v>
      </c>
      <c r="P8">
        <v>0</v>
      </c>
      <c r="Q8">
        <v>5</v>
      </c>
      <c r="R8">
        <v>0</v>
      </c>
      <c r="S8">
        <v>5</v>
      </c>
      <c r="T8">
        <v>0</v>
      </c>
      <c r="U8">
        <v>5</v>
      </c>
    </row>
    <row r="9" spans="2:21" x14ac:dyDescent="0.25">
      <c r="M9" s="4">
        <v>43652</v>
      </c>
      <c r="N9">
        <v>0</v>
      </c>
      <c r="O9">
        <v>6</v>
      </c>
      <c r="P9">
        <v>0</v>
      </c>
      <c r="Q9">
        <v>6</v>
      </c>
      <c r="R9">
        <v>0</v>
      </c>
      <c r="S9">
        <v>6</v>
      </c>
      <c r="T9">
        <v>0</v>
      </c>
      <c r="U9">
        <v>6</v>
      </c>
    </row>
    <row r="10" spans="2:21" x14ac:dyDescent="0.25">
      <c r="B10" s="28" t="s">
        <v>18</v>
      </c>
      <c r="C10" s="28"/>
      <c r="M10" s="4">
        <v>43653</v>
      </c>
      <c r="N10">
        <v>0</v>
      </c>
      <c r="O10">
        <v>7</v>
      </c>
      <c r="P10">
        <v>0</v>
      </c>
      <c r="Q10">
        <v>7</v>
      </c>
      <c r="R10">
        <v>0</v>
      </c>
      <c r="S10">
        <v>7</v>
      </c>
      <c r="T10">
        <v>0</v>
      </c>
      <c r="U10">
        <v>7</v>
      </c>
    </row>
    <row r="11" spans="2:21" x14ac:dyDescent="0.25">
      <c r="B11" s="1" t="s">
        <v>8</v>
      </c>
      <c r="C11" s="2" t="str">
        <f>Works_Sunday</f>
        <v>NO</v>
      </c>
      <c r="M11" s="4">
        <v>43654</v>
      </c>
      <c r="N11">
        <v>23.80952380952381</v>
      </c>
      <c r="O11">
        <v>8</v>
      </c>
      <c r="P11">
        <v>0</v>
      </c>
      <c r="Q11">
        <v>8</v>
      </c>
      <c r="R11">
        <v>0</v>
      </c>
      <c r="S11">
        <v>8</v>
      </c>
      <c r="T11">
        <v>0</v>
      </c>
      <c r="U11">
        <v>8</v>
      </c>
    </row>
    <row r="12" spans="2:21" x14ac:dyDescent="0.25">
      <c r="B12" s="1" t="s">
        <v>9</v>
      </c>
      <c r="C12" s="2" t="str">
        <f>Works_Monday</f>
        <v>YES</v>
      </c>
      <c r="M12" s="4">
        <v>43655</v>
      </c>
      <c r="N12">
        <v>23.80952380952381</v>
      </c>
      <c r="O12">
        <v>9</v>
      </c>
      <c r="P12">
        <v>0</v>
      </c>
      <c r="Q12">
        <v>9</v>
      </c>
      <c r="R12">
        <v>0</v>
      </c>
      <c r="S12">
        <v>9</v>
      </c>
      <c r="T12">
        <v>0</v>
      </c>
      <c r="U12">
        <v>9</v>
      </c>
    </row>
    <row r="13" spans="2:21" x14ac:dyDescent="0.25">
      <c r="B13" s="1" t="s">
        <v>10</v>
      </c>
      <c r="C13" s="2" t="str">
        <f>Works_Tuesday</f>
        <v>YES</v>
      </c>
      <c r="M13" s="4">
        <v>43656</v>
      </c>
      <c r="N13">
        <v>23.80952380952381</v>
      </c>
      <c r="O13">
        <v>10</v>
      </c>
      <c r="P13">
        <v>0</v>
      </c>
      <c r="Q13">
        <v>10</v>
      </c>
      <c r="R13">
        <v>0</v>
      </c>
      <c r="S13">
        <v>10</v>
      </c>
      <c r="T13">
        <v>0</v>
      </c>
      <c r="U13">
        <v>10</v>
      </c>
    </row>
    <row r="14" spans="2:21" x14ac:dyDescent="0.25">
      <c r="B14" s="1" t="s">
        <v>11</v>
      </c>
      <c r="C14" s="2" t="str">
        <f>Works_Wednesday</f>
        <v>YES</v>
      </c>
      <c r="M14" s="4">
        <v>43657</v>
      </c>
      <c r="N14">
        <v>23.80952380952381</v>
      </c>
      <c r="O14">
        <v>11</v>
      </c>
      <c r="P14">
        <v>0</v>
      </c>
      <c r="Q14">
        <v>11</v>
      </c>
      <c r="R14">
        <v>0</v>
      </c>
      <c r="S14">
        <v>11</v>
      </c>
      <c r="T14">
        <v>0</v>
      </c>
      <c r="U14">
        <v>11</v>
      </c>
    </row>
    <row r="15" spans="2:21" x14ac:dyDescent="0.25">
      <c r="B15" s="1" t="s">
        <v>12</v>
      </c>
      <c r="C15" s="2" t="str">
        <f>Works_Thrusday</f>
        <v>YES</v>
      </c>
      <c r="M15" s="4">
        <v>43658</v>
      </c>
      <c r="N15">
        <v>23.80952380952381</v>
      </c>
      <c r="O15">
        <v>12</v>
      </c>
      <c r="P15">
        <v>0</v>
      </c>
      <c r="Q15">
        <v>12</v>
      </c>
      <c r="R15">
        <v>0</v>
      </c>
      <c r="S15">
        <v>12</v>
      </c>
      <c r="T15">
        <v>0</v>
      </c>
      <c r="U15">
        <v>12</v>
      </c>
    </row>
    <row r="16" spans="2:21" x14ac:dyDescent="0.25">
      <c r="B16" s="1" t="s">
        <v>13</v>
      </c>
      <c r="C16" s="2" t="s">
        <v>34</v>
      </c>
      <c r="M16" s="4">
        <v>43659</v>
      </c>
      <c r="N16">
        <v>0</v>
      </c>
      <c r="O16">
        <v>13</v>
      </c>
      <c r="P16">
        <v>0</v>
      </c>
      <c r="Q16">
        <v>13</v>
      </c>
      <c r="R16">
        <v>0</v>
      </c>
      <c r="S16">
        <v>13</v>
      </c>
      <c r="T16">
        <v>0</v>
      </c>
      <c r="U16">
        <v>13</v>
      </c>
    </row>
    <row r="17" spans="2:21" x14ac:dyDescent="0.25">
      <c r="B17" s="1" t="s">
        <v>14</v>
      </c>
      <c r="C17" s="2" t="str">
        <f>Works_Saturday</f>
        <v>NO</v>
      </c>
      <c r="M17" s="4">
        <v>43660</v>
      </c>
      <c r="N17">
        <v>0</v>
      </c>
      <c r="O17">
        <v>14</v>
      </c>
      <c r="P17">
        <v>0</v>
      </c>
      <c r="Q17">
        <v>14</v>
      </c>
      <c r="R17">
        <v>0</v>
      </c>
      <c r="S17">
        <v>14</v>
      </c>
      <c r="T17">
        <v>0</v>
      </c>
      <c r="U17">
        <v>14</v>
      </c>
    </row>
    <row r="18" spans="2:21" x14ac:dyDescent="0.25">
      <c r="B18" s="1" t="s">
        <v>17</v>
      </c>
      <c r="C18" s="13">
        <f>Schedule_Run_Date</f>
        <v>43466</v>
      </c>
      <c r="M18" s="4">
        <v>43661</v>
      </c>
      <c r="N18">
        <v>23.80952380952381</v>
      </c>
      <c r="O18">
        <v>15</v>
      </c>
      <c r="P18">
        <v>21.739130434782609</v>
      </c>
      <c r="Q18">
        <v>15</v>
      </c>
      <c r="R18">
        <v>0</v>
      </c>
      <c r="S18">
        <v>15</v>
      </c>
      <c r="T18">
        <v>0</v>
      </c>
      <c r="U18">
        <v>15</v>
      </c>
    </row>
    <row r="19" spans="2:21" x14ac:dyDescent="0.25">
      <c r="M19" s="4">
        <v>43662</v>
      </c>
      <c r="N19">
        <v>23.80952380952381</v>
      </c>
      <c r="O19">
        <v>16</v>
      </c>
      <c r="P19">
        <v>21.739130434782609</v>
      </c>
      <c r="Q19">
        <v>16</v>
      </c>
      <c r="R19">
        <v>0</v>
      </c>
      <c r="S19">
        <v>16</v>
      </c>
      <c r="T19">
        <v>0</v>
      </c>
      <c r="U19">
        <v>16</v>
      </c>
    </row>
    <row r="20" spans="2:21" x14ac:dyDescent="0.25">
      <c r="M20" s="4">
        <v>43663</v>
      </c>
      <c r="N20">
        <v>23.80952380952381</v>
      </c>
      <c r="O20">
        <v>17</v>
      </c>
      <c r="P20">
        <v>21.739130434782609</v>
      </c>
      <c r="Q20">
        <v>1</v>
      </c>
      <c r="R20">
        <v>0</v>
      </c>
      <c r="S20">
        <v>1</v>
      </c>
      <c r="T20">
        <v>0</v>
      </c>
      <c r="U20">
        <v>1</v>
      </c>
    </row>
    <row r="21" spans="2:21" x14ac:dyDescent="0.25">
      <c r="M21" s="4">
        <v>43664</v>
      </c>
      <c r="N21">
        <v>23.80952380952381</v>
      </c>
      <c r="O21">
        <v>18</v>
      </c>
      <c r="P21">
        <v>21.739130434782609</v>
      </c>
      <c r="Q21">
        <v>2</v>
      </c>
      <c r="R21">
        <v>0</v>
      </c>
      <c r="S21">
        <v>2</v>
      </c>
      <c r="T21">
        <v>0</v>
      </c>
      <c r="U21">
        <v>2</v>
      </c>
    </row>
    <row r="22" spans="2:21" x14ac:dyDescent="0.25">
      <c r="M22" s="4">
        <v>43665</v>
      </c>
      <c r="N22">
        <v>23.80952380952381</v>
      </c>
      <c r="O22">
        <v>19</v>
      </c>
      <c r="P22">
        <v>21.739130434782609</v>
      </c>
      <c r="Q22">
        <v>3</v>
      </c>
      <c r="R22">
        <v>0</v>
      </c>
      <c r="S22">
        <v>3</v>
      </c>
      <c r="T22">
        <v>0</v>
      </c>
      <c r="U22">
        <v>3</v>
      </c>
    </row>
    <row r="23" spans="2:21" x14ac:dyDescent="0.25">
      <c r="M23" s="4">
        <v>43666</v>
      </c>
      <c r="N23">
        <v>0</v>
      </c>
      <c r="O23">
        <v>20</v>
      </c>
      <c r="P23">
        <v>0</v>
      </c>
      <c r="Q23">
        <v>4</v>
      </c>
      <c r="R23">
        <v>0</v>
      </c>
      <c r="S23">
        <v>4</v>
      </c>
      <c r="T23">
        <v>0</v>
      </c>
      <c r="U23">
        <v>4</v>
      </c>
    </row>
    <row r="24" spans="2:21" x14ac:dyDescent="0.25">
      <c r="M24" s="4">
        <v>43667</v>
      </c>
      <c r="N24">
        <v>0</v>
      </c>
      <c r="O24">
        <v>21</v>
      </c>
      <c r="P24">
        <v>0</v>
      </c>
      <c r="Q24">
        <v>5</v>
      </c>
      <c r="R24">
        <v>0</v>
      </c>
      <c r="S24">
        <v>5</v>
      </c>
      <c r="T24">
        <v>0</v>
      </c>
      <c r="U24">
        <v>5</v>
      </c>
    </row>
    <row r="25" spans="2:21" x14ac:dyDescent="0.25">
      <c r="M25" s="4">
        <v>43668</v>
      </c>
      <c r="N25">
        <v>23.80952380952381</v>
      </c>
      <c r="O25">
        <v>22</v>
      </c>
      <c r="P25">
        <v>21.739130434782609</v>
      </c>
      <c r="Q25">
        <v>6</v>
      </c>
      <c r="R25">
        <v>0</v>
      </c>
      <c r="S25">
        <v>6</v>
      </c>
      <c r="T25">
        <v>0</v>
      </c>
      <c r="U25">
        <v>6</v>
      </c>
    </row>
    <row r="26" spans="2:21" x14ac:dyDescent="0.25">
      <c r="M26" s="4">
        <v>43669</v>
      </c>
      <c r="N26">
        <v>23.80952380952381</v>
      </c>
      <c r="O26">
        <v>23</v>
      </c>
      <c r="P26">
        <v>21.739130434782609</v>
      </c>
      <c r="Q26">
        <v>7</v>
      </c>
      <c r="R26">
        <v>0</v>
      </c>
      <c r="S26">
        <v>7</v>
      </c>
      <c r="T26">
        <v>0</v>
      </c>
      <c r="U26">
        <v>7</v>
      </c>
    </row>
    <row r="27" spans="2:21" x14ac:dyDescent="0.25">
      <c r="M27" s="4">
        <v>43670</v>
      </c>
      <c r="N27">
        <v>0</v>
      </c>
      <c r="O27">
        <v>24</v>
      </c>
      <c r="P27">
        <v>0</v>
      </c>
      <c r="Q27">
        <v>8</v>
      </c>
      <c r="R27">
        <v>0</v>
      </c>
      <c r="S27">
        <v>8</v>
      </c>
      <c r="T27">
        <v>0</v>
      </c>
      <c r="U27">
        <v>8</v>
      </c>
    </row>
    <row r="28" spans="2:21" x14ac:dyDescent="0.25">
      <c r="M28" s="4">
        <v>43671</v>
      </c>
      <c r="N28">
        <v>23.80952380952381</v>
      </c>
      <c r="O28">
        <v>25</v>
      </c>
      <c r="P28">
        <v>21.739130434782609</v>
      </c>
      <c r="Q28">
        <v>9</v>
      </c>
      <c r="R28">
        <v>0</v>
      </c>
      <c r="S28">
        <v>9</v>
      </c>
      <c r="T28">
        <v>0</v>
      </c>
      <c r="U28">
        <v>9</v>
      </c>
    </row>
    <row r="29" spans="2:21" x14ac:dyDescent="0.25">
      <c r="M29" s="4">
        <v>43672</v>
      </c>
      <c r="N29">
        <v>23.80952380952381</v>
      </c>
      <c r="O29">
        <v>26</v>
      </c>
      <c r="P29">
        <v>21.739130434782609</v>
      </c>
      <c r="Q29">
        <v>10</v>
      </c>
      <c r="R29">
        <v>0</v>
      </c>
      <c r="S29">
        <v>10</v>
      </c>
      <c r="T29">
        <v>0</v>
      </c>
      <c r="U29">
        <v>10</v>
      </c>
    </row>
    <row r="30" spans="2:21" x14ac:dyDescent="0.25">
      <c r="M30" s="4">
        <v>43673</v>
      </c>
      <c r="N30">
        <v>0</v>
      </c>
      <c r="O30">
        <v>27</v>
      </c>
      <c r="P30">
        <v>0</v>
      </c>
      <c r="Q30">
        <v>11</v>
      </c>
      <c r="R30">
        <v>0</v>
      </c>
      <c r="S30">
        <v>11</v>
      </c>
      <c r="T30">
        <v>0</v>
      </c>
      <c r="U30">
        <v>11</v>
      </c>
    </row>
    <row r="31" spans="2:21" x14ac:dyDescent="0.25">
      <c r="M31" s="4">
        <v>43674</v>
      </c>
      <c r="N31">
        <v>0</v>
      </c>
      <c r="O31">
        <v>28</v>
      </c>
      <c r="P31">
        <v>0</v>
      </c>
      <c r="Q31">
        <v>12</v>
      </c>
      <c r="R31">
        <v>0</v>
      </c>
      <c r="S31">
        <v>12</v>
      </c>
      <c r="T31">
        <v>0</v>
      </c>
      <c r="U31">
        <v>12</v>
      </c>
    </row>
    <row r="32" spans="2:21" x14ac:dyDescent="0.25">
      <c r="M32" s="4">
        <v>43675</v>
      </c>
      <c r="N32">
        <v>23.80952380952381</v>
      </c>
      <c r="O32">
        <v>29</v>
      </c>
      <c r="P32">
        <v>21.739130434782609</v>
      </c>
      <c r="Q32">
        <v>13</v>
      </c>
      <c r="R32">
        <v>0</v>
      </c>
      <c r="S32">
        <v>13</v>
      </c>
      <c r="T32">
        <v>0</v>
      </c>
      <c r="U32">
        <v>13</v>
      </c>
    </row>
    <row r="33" spans="13:21" x14ac:dyDescent="0.25">
      <c r="M33" s="4">
        <v>43676</v>
      </c>
      <c r="N33">
        <v>23.80952380952381</v>
      </c>
      <c r="O33">
        <v>30</v>
      </c>
      <c r="P33">
        <v>21.739130434782609</v>
      </c>
      <c r="Q33">
        <v>14</v>
      </c>
      <c r="R33">
        <v>0</v>
      </c>
      <c r="S33">
        <v>14</v>
      </c>
      <c r="T33">
        <v>0</v>
      </c>
      <c r="U33">
        <v>14</v>
      </c>
    </row>
    <row r="34" spans="13:21" x14ac:dyDescent="0.25">
      <c r="M34" s="4">
        <v>43677</v>
      </c>
      <c r="N34">
        <v>23.80952380952381</v>
      </c>
      <c r="O34">
        <v>31</v>
      </c>
      <c r="P34">
        <v>21.739130434782609</v>
      </c>
      <c r="Q34">
        <v>15</v>
      </c>
      <c r="R34">
        <v>0</v>
      </c>
      <c r="S34">
        <v>15</v>
      </c>
      <c r="T34">
        <v>0</v>
      </c>
      <c r="U34">
        <v>15</v>
      </c>
    </row>
    <row r="35" spans="13:21" x14ac:dyDescent="0.25">
      <c r="M35" s="4">
        <v>43678</v>
      </c>
      <c r="N35">
        <v>0</v>
      </c>
      <c r="O35">
        <v>32</v>
      </c>
      <c r="P35">
        <v>21.739130434782609</v>
      </c>
      <c r="Q35">
        <v>16</v>
      </c>
      <c r="R35">
        <v>22.727272727272727</v>
      </c>
      <c r="S35">
        <v>16</v>
      </c>
      <c r="T35">
        <v>0</v>
      </c>
      <c r="U35">
        <v>16</v>
      </c>
    </row>
    <row r="36" spans="13:21" x14ac:dyDescent="0.25">
      <c r="M36" s="4">
        <v>43679</v>
      </c>
      <c r="N36">
        <v>0</v>
      </c>
      <c r="O36">
        <v>33</v>
      </c>
      <c r="P36">
        <v>21.739130434782609</v>
      </c>
      <c r="Q36">
        <v>17</v>
      </c>
      <c r="R36">
        <v>22.727272727272727</v>
      </c>
      <c r="S36">
        <v>17</v>
      </c>
      <c r="T36">
        <v>0</v>
      </c>
      <c r="U36">
        <v>17</v>
      </c>
    </row>
    <row r="37" spans="13:21" x14ac:dyDescent="0.25">
      <c r="M37" s="4">
        <v>43680</v>
      </c>
      <c r="N37">
        <v>0</v>
      </c>
      <c r="O37">
        <v>34</v>
      </c>
      <c r="P37">
        <v>0</v>
      </c>
      <c r="Q37">
        <v>18</v>
      </c>
      <c r="R37">
        <v>0</v>
      </c>
      <c r="S37">
        <v>18</v>
      </c>
      <c r="T37">
        <v>0</v>
      </c>
      <c r="U37">
        <v>18</v>
      </c>
    </row>
    <row r="38" spans="13:21" x14ac:dyDescent="0.25">
      <c r="M38" s="4">
        <v>43681</v>
      </c>
      <c r="N38">
        <v>0</v>
      </c>
      <c r="O38">
        <v>35</v>
      </c>
      <c r="P38">
        <v>0</v>
      </c>
      <c r="Q38">
        <v>19</v>
      </c>
      <c r="R38">
        <v>0</v>
      </c>
      <c r="S38">
        <v>19</v>
      </c>
      <c r="T38">
        <v>0</v>
      </c>
      <c r="U38">
        <v>19</v>
      </c>
    </row>
    <row r="39" spans="13:21" x14ac:dyDescent="0.25">
      <c r="M39" s="4">
        <v>43682</v>
      </c>
      <c r="N39">
        <v>0</v>
      </c>
      <c r="O39">
        <v>36</v>
      </c>
      <c r="P39">
        <v>21.739130434782609</v>
      </c>
      <c r="Q39">
        <v>20</v>
      </c>
      <c r="R39">
        <v>22.727272727272727</v>
      </c>
      <c r="S39">
        <v>20</v>
      </c>
      <c r="T39">
        <v>0</v>
      </c>
      <c r="U39">
        <v>20</v>
      </c>
    </row>
    <row r="40" spans="13:21" x14ac:dyDescent="0.25">
      <c r="M40" s="4">
        <v>43683</v>
      </c>
      <c r="N40">
        <v>0</v>
      </c>
      <c r="O40">
        <v>37</v>
      </c>
      <c r="P40">
        <v>21.739130434782609</v>
      </c>
      <c r="Q40">
        <v>21</v>
      </c>
      <c r="R40">
        <v>22.727272727272727</v>
      </c>
      <c r="S40">
        <v>21</v>
      </c>
      <c r="T40">
        <v>0</v>
      </c>
      <c r="U40">
        <v>21</v>
      </c>
    </row>
    <row r="41" spans="13:21" x14ac:dyDescent="0.25">
      <c r="M41" s="4">
        <v>43684</v>
      </c>
      <c r="N41">
        <v>0</v>
      </c>
      <c r="O41">
        <v>38</v>
      </c>
      <c r="P41">
        <v>21.739130434782609</v>
      </c>
      <c r="Q41">
        <v>22</v>
      </c>
      <c r="R41">
        <v>22.727272727272727</v>
      </c>
      <c r="S41">
        <v>22</v>
      </c>
      <c r="T41">
        <v>0</v>
      </c>
      <c r="U41">
        <v>22</v>
      </c>
    </row>
    <row r="42" spans="13:21" x14ac:dyDescent="0.25">
      <c r="M42" s="4">
        <v>43685</v>
      </c>
      <c r="N42">
        <v>0</v>
      </c>
      <c r="O42">
        <v>39</v>
      </c>
      <c r="P42">
        <v>21.739130434782609</v>
      </c>
      <c r="Q42">
        <v>23</v>
      </c>
      <c r="R42">
        <v>22.727272727272727</v>
      </c>
      <c r="S42">
        <v>23</v>
      </c>
      <c r="T42">
        <v>0</v>
      </c>
      <c r="U42">
        <v>23</v>
      </c>
    </row>
    <row r="43" spans="13:21" x14ac:dyDescent="0.25">
      <c r="M43" s="4">
        <v>43686</v>
      </c>
      <c r="N43">
        <v>0</v>
      </c>
      <c r="O43">
        <v>40</v>
      </c>
      <c r="P43">
        <v>21.739130434782609</v>
      </c>
      <c r="Q43">
        <v>24</v>
      </c>
      <c r="R43">
        <v>22.727272727272727</v>
      </c>
      <c r="S43">
        <v>24</v>
      </c>
      <c r="T43">
        <v>0</v>
      </c>
      <c r="U43">
        <v>24</v>
      </c>
    </row>
    <row r="44" spans="13:21" x14ac:dyDescent="0.25">
      <c r="M44" s="4">
        <v>43687</v>
      </c>
      <c r="N44">
        <v>0</v>
      </c>
      <c r="O44">
        <v>41</v>
      </c>
      <c r="P44">
        <v>0</v>
      </c>
      <c r="Q44">
        <v>25</v>
      </c>
      <c r="R44">
        <v>0</v>
      </c>
      <c r="S44">
        <v>25</v>
      </c>
      <c r="T44">
        <v>0</v>
      </c>
      <c r="U44">
        <v>25</v>
      </c>
    </row>
    <row r="45" spans="13:21" x14ac:dyDescent="0.25">
      <c r="M45" s="4">
        <v>43688</v>
      </c>
      <c r="N45">
        <v>0</v>
      </c>
      <c r="O45">
        <v>42</v>
      </c>
      <c r="P45">
        <v>0</v>
      </c>
      <c r="Q45">
        <v>26</v>
      </c>
      <c r="R45">
        <v>0</v>
      </c>
      <c r="S45">
        <v>26</v>
      </c>
      <c r="T45">
        <v>0</v>
      </c>
      <c r="U45">
        <v>26</v>
      </c>
    </row>
    <row r="46" spans="13:21" x14ac:dyDescent="0.25">
      <c r="M46" s="4">
        <v>43689</v>
      </c>
      <c r="N46">
        <v>0</v>
      </c>
      <c r="O46">
        <v>43</v>
      </c>
      <c r="P46">
        <v>21.739130434782609</v>
      </c>
      <c r="Q46">
        <v>27</v>
      </c>
      <c r="R46">
        <v>22.727272727272727</v>
      </c>
      <c r="S46">
        <v>27</v>
      </c>
      <c r="T46">
        <v>0</v>
      </c>
      <c r="U46">
        <v>27</v>
      </c>
    </row>
    <row r="47" spans="13:21" x14ac:dyDescent="0.25">
      <c r="M47" s="4">
        <v>43690</v>
      </c>
      <c r="N47">
        <v>0</v>
      </c>
      <c r="O47">
        <v>44</v>
      </c>
      <c r="P47">
        <v>21.739130434782609</v>
      </c>
      <c r="Q47">
        <v>28</v>
      </c>
      <c r="R47">
        <v>22.727272727272727</v>
      </c>
      <c r="S47">
        <v>28</v>
      </c>
      <c r="T47">
        <v>0</v>
      </c>
      <c r="U47">
        <v>28</v>
      </c>
    </row>
    <row r="48" spans="13:21" x14ac:dyDescent="0.25">
      <c r="M48" s="4">
        <v>43691</v>
      </c>
      <c r="N48">
        <v>0</v>
      </c>
      <c r="O48">
        <v>45</v>
      </c>
      <c r="P48">
        <v>21.739130434782609</v>
      </c>
      <c r="Q48">
        <v>29</v>
      </c>
      <c r="R48">
        <v>22.727272727272727</v>
      </c>
      <c r="S48">
        <v>29</v>
      </c>
      <c r="T48">
        <v>0</v>
      </c>
      <c r="U48">
        <v>29</v>
      </c>
    </row>
    <row r="49" spans="13:21" x14ac:dyDescent="0.25">
      <c r="M49" s="4">
        <v>43692</v>
      </c>
      <c r="N49">
        <v>0</v>
      </c>
      <c r="O49">
        <v>46</v>
      </c>
      <c r="P49">
        <v>21.739130434782609</v>
      </c>
      <c r="Q49">
        <v>30</v>
      </c>
      <c r="R49">
        <v>22.727272727272727</v>
      </c>
      <c r="S49">
        <v>30</v>
      </c>
      <c r="T49">
        <v>20.833333333333332</v>
      </c>
      <c r="U49">
        <v>30</v>
      </c>
    </row>
    <row r="50" spans="13:21" x14ac:dyDescent="0.25">
      <c r="M50" s="4">
        <v>43693</v>
      </c>
      <c r="N50">
        <v>0</v>
      </c>
      <c r="O50">
        <v>47</v>
      </c>
      <c r="P50">
        <v>0</v>
      </c>
      <c r="Q50">
        <v>31</v>
      </c>
      <c r="R50">
        <v>22.727272727272727</v>
      </c>
      <c r="S50">
        <v>31</v>
      </c>
      <c r="T50">
        <v>20.833333333333332</v>
      </c>
      <c r="U50">
        <v>31</v>
      </c>
    </row>
    <row r="51" spans="13:21" x14ac:dyDescent="0.25">
      <c r="M51" s="4">
        <v>43694</v>
      </c>
      <c r="N51">
        <v>0</v>
      </c>
      <c r="O51">
        <v>48</v>
      </c>
      <c r="P51">
        <v>0</v>
      </c>
      <c r="Q51">
        <v>32</v>
      </c>
      <c r="R51">
        <v>0</v>
      </c>
      <c r="S51">
        <v>32</v>
      </c>
      <c r="T51">
        <v>0</v>
      </c>
      <c r="U51">
        <v>32</v>
      </c>
    </row>
    <row r="52" spans="13:21" x14ac:dyDescent="0.25">
      <c r="M52" s="4">
        <v>43695</v>
      </c>
      <c r="N52">
        <v>0</v>
      </c>
      <c r="O52">
        <v>49</v>
      </c>
      <c r="P52">
        <v>0</v>
      </c>
      <c r="Q52">
        <v>33</v>
      </c>
      <c r="R52">
        <v>0</v>
      </c>
      <c r="S52">
        <v>33</v>
      </c>
      <c r="T52">
        <v>0</v>
      </c>
      <c r="U52">
        <v>33</v>
      </c>
    </row>
    <row r="53" spans="13:21" x14ac:dyDescent="0.25">
      <c r="M53" s="4">
        <v>43696</v>
      </c>
      <c r="N53">
        <v>0</v>
      </c>
      <c r="O53">
        <v>50</v>
      </c>
      <c r="P53">
        <v>0</v>
      </c>
      <c r="Q53">
        <v>34</v>
      </c>
      <c r="R53">
        <v>22.727272727272727</v>
      </c>
      <c r="S53">
        <v>34</v>
      </c>
      <c r="T53">
        <v>20.833333333333332</v>
      </c>
      <c r="U53">
        <v>34</v>
      </c>
    </row>
    <row r="54" spans="13:21" x14ac:dyDescent="0.25">
      <c r="M54" s="4">
        <v>43697</v>
      </c>
      <c r="N54">
        <v>0</v>
      </c>
      <c r="O54">
        <v>51</v>
      </c>
      <c r="P54">
        <v>0</v>
      </c>
      <c r="Q54">
        <v>35</v>
      </c>
      <c r="R54">
        <v>22.727272727272727</v>
      </c>
      <c r="S54">
        <v>35</v>
      </c>
      <c r="T54">
        <v>20.833333333333332</v>
      </c>
      <c r="U54">
        <v>35</v>
      </c>
    </row>
    <row r="55" spans="13:21" x14ac:dyDescent="0.25">
      <c r="M55" s="4">
        <v>43698</v>
      </c>
      <c r="N55">
        <v>0</v>
      </c>
      <c r="O55">
        <v>52</v>
      </c>
      <c r="P55">
        <v>0</v>
      </c>
      <c r="Q55">
        <v>36</v>
      </c>
      <c r="R55">
        <v>22.727272727272727</v>
      </c>
      <c r="S55">
        <v>36</v>
      </c>
      <c r="T55">
        <v>20.833333333333332</v>
      </c>
      <c r="U55">
        <v>36</v>
      </c>
    </row>
    <row r="56" spans="13:21" x14ac:dyDescent="0.25">
      <c r="M56" s="4">
        <v>43699</v>
      </c>
      <c r="N56">
        <v>0</v>
      </c>
      <c r="O56">
        <v>53</v>
      </c>
      <c r="P56">
        <v>0</v>
      </c>
      <c r="Q56">
        <v>37</v>
      </c>
      <c r="R56">
        <v>22.727272727272727</v>
      </c>
      <c r="S56">
        <v>37</v>
      </c>
      <c r="T56">
        <v>20.833333333333332</v>
      </c>
      <c r="U56">
        <v>37</v>
      </c>
    </row>
    <row r="57" spans="13:21" x14ac:dyDescent="0.25">
      <c r="M57" s="4">
        <v>43700</v>
      </c>
      <c r="N57">
        <v>0</v>
      </c>
      <c r="O57">
        <v>54</v>
      </c>
      <c r="P57">
        <v>0</v>
      </c>
      <c r="Q57">
        <v>38</v>
      </c>
      <c r="R57">
        <v>22.727272727272727</v>
      </c>
      <c r="S57">
        <v>38</v>
      </c>
      <c r="T57">
        <v>20.833333333333332</v>
      </c>
      <c r="U57">
        <v>38</v>
      </c>
    </row>
    <row r="58" spans="13:21" x14ac:dyDescent="0.25">
      <c r="M58" s="4">
        <v>43701</v>
      </c>
      <c r="N58">
        <v>0</v>
      </c>
      <c r="O58">
        <v>55</v>
      </c>
      <c r="P58">
        <v>0</v>
      </c>
      <c r="Q58">
        <v>39</v>
      </c>
      <c r="R58">
        <v>0</v>
      </c>
      <c r="S58">
        <v>39</v>
      </c>
      <c r="T58">
        <v>0</v>
      </c>
      <c r="U58">
        <v>39</v>
      </c>
    </row>
    <row r="59" spans="13:21" x14ac:dyDescent="0.25">
      <c r="M59" s="4">
        <v>43702</v>
      </c>
      <c r="N59">
        <v>0</v>
      </c>
      <c r="O59">
        <v>56</v>
      </c>
      <c r="P59">
        <v>0</v>
      </c>
      <c r="Q59">
        <v>40</v>
      </c>
      <c r="R59">
        <v>0</v>
      </c>
      <c r="S59">
        <v>40</v>
      </c>
      <c r="T59">
        <v>0</v>
      </c>
      <c r="U59">
        <v>40</v>
      </c>
    </row>
    <row r="60" spans="13:21" x14ac:dyDescent="0.25">
      <c r="M60" s="4">
        <v>43703</v>
      </c>
      <c r="N60">
        <v>0</v>
      </c>
      <c r="O60">
        <v>57</v>
      </c>
      <c r="P60">
        <v>0</v>
      </c>
      <c r="Q60">
        <v>41</v>
      </c>
      <c r="R60">
        <v>22.727272727272727</v>
      </c>
      <c r="S60">
        <v>41</v>
      </c>
      <c r="T60">
        <v>20.833333333333332</v>
      </c>
      <c r="U60">
        <v>41</v>
      </c>
    </row>
    <row r="61" spans="13:21" x14ac:dyDescent="0.25">
      <c r="M61" s="4">
        <v>43704</v>
      </c>
      <c r="N61">
        <v>0</v>
      </c>
      <c r="O61">
        <v>58</v>
      </c>
      <c r="P61">
        <v>0</v>
      </c>
      <c r="Q61">
        <v>42</v>
      </c>
      <c r="R61">
        <v>22.727272727272727</v>
      </c>
      <c r="S61">
        <v>42</v>
      </c>
      <c r="T61">
        <v>20.833333333333332</v>
      </c>
      <c r="U61">
        <v>42</v>
      </c>
    </row>
    <row r="62" spans="13:21" x14ac:dyDescent="0.25">
      <c r="M62" s="4">
        <v>43705</v>
      </c>
      <c r="N62">
        <v>0</v>
      </c>
      <c r="O62">
        <v>59</v>
      </c>
      <c r="P62">
        <v>0</v>
      </c>
      <c r="Q62">
        <v>43</v>
      </c>
      <c r="R62">
        <v>22.727272727272727</v>
      </c>
      <c r="S62">
        <v>43</v>
      </c>
      <c r="T62">
        <v>20.833333333333332</v>
      </c>
      <c r="U62">
        <v>43</v>
      </c>
    </row>
    <row r="63" spans="13:21" x14ac:dyDescent="0.25">
      <c r="M63" s="4">
        <v>43706</v>
      </c>
      <c r="N63">
        <v>0</v>
      </c>
      <c r="O63">
        <v>60</v>
      </c>
      <c r="P63">
        <v>0</v>
      </c>
      <c r="Q63">
        <v>44</v>
      </c>
      <c r="R63">
        <v>22.727272727272727</v>
      </c>
      <c r="S63">
        <v>44</v>
      </c>
      <c r="T63">
        <v>20.833333333333332</v>
      </c>
      <c r="U63">
        <v>44</v>
      </c>
    </row>
    <row r="64" spans="13:21" x14ac:dyDescent="0.25">
      <c r="M64" s="4">
        <v>43707</v>
      </c>
      <c r="N64">
        <v>0</v>
      </c>
      <c r="O64">
        <v>61</v>
      </c>
      <c r="P64">
        <v>0</v>
      </c>
      <c r="Q64">
        <v>45</v>
      </c>
      <c r="R64">
        <v>22.727272727272727</v>
      </c>
      <c r="S64">
        <v>45</v>
      </c>
      <c r="T64">
        <v>20.833333333333332</v>
      </c>
      <c r="U64">
        <v>45</v>
      </c>
    </row>
    <row r="65" spans="13:21" x14ac:dyDescent="0.25">
      <c r="M65" s="4">
        <v>43708</v>
      </c>
      <c r="N65">
        <v>0</v>
      </c>
      <c r="O65">
        <v>62</v>
      </c>
      <c r="P65">
        <v>0</v>
      </c>
      <c r="Q65">
        <v>46</v>
      </c>
      <c r="R65">
        <v>0</v>
      </c>
      <c r="S65">
        <v>46</v>
      </c>
      <c r="T65">
        <v>0</v>
      </c>
      <c r="U65">
        <v>46</v>
      </c>
    </row>
    <row r="66" spans="13:21" x14ac:dyDescent="0.25">
      <c r="M66" s="4">
        <v>43709</v>
      </c>
      <c r="N66">
        <v>0</v>
      </c>
      <c r="O66">
        <v>63</v>
      </c>
      <c r="P66">
        <v>0</v>
      </c>
      <c r="Q66">
        <v>47</v>
      </c>
      <c r="R66">
        <v>0</v>
      </c>
      <c r="S66">
        <v>47</v>
      </c>
      <c r="T66">
        <v>0</v>
      </c>
      <c r="U66">
        <v>47</v>
      </c>
    </row>
    <row r="67" spans="13:21" x14ac:dyDescent="0.25">
      <c r="M67" s="4">
        <v>43710</v>
      </c>
      <c r="N67">
        <v>0</v>
      </c>
      <c r="O67">
        <v>64</v>
      </c>
      <c r="P67">
        <v>0</v>
      </c>
      <c r="Q67">
        <v>48</v>
      </c>
      <c r="R67">
        <v>0</v>
      </c>
      <c r="S67">
        <v>48</v>
      </c>
      <c r="T67">
        <v>0</v>
      </c>
      <c r="U67">
        <v>48</v>
      </c>
    </row>
    <row r="68" spans="13:21" x14ac:dyDescent="0.25">
      <c r="M68" s="4">
        <v>43711</v>
      </c>
      <c r="N68">
        <v>0</v>
      </c>
      <c r="O68">
        <v>65</v>
      </c>
      <c r="P68">
        <v>0</v>
      </c>
      <c r="Q68">
        <v>49</v>
      </c>
      <c r="R68">
        <v>0</v>
      </c>
      <c r="S68">
        <v>49</v>
      </c>
      <c r="T68">
        <v>20.833333333333332</v>
      </c>
      <c r="U68">
        <v>49</v>
      </c>
    </row>
    <row r="69" spans="13:21" x14ac:dyDescent="0.25">
      <c r="M69" s="4">
        <v>43712</v>
      </c>
      <c r="N69">
        <v>0</v>
      </c>
      <c r="O69">
        <v>66</v>
      </c>
      <c r="P69">
        <v>0</v>
      </c>
      <c r="Q69">
        <v>50</v>
      </c>
      <c r="R69">
        <v>0</v>
      </c>
      <c r="S69">
        <v>50</v>
      </c>
      <c r="T69">
        <v>20.833333333333332</v>
      </c>
      <c r="U69">
        <v>50</v>
      </c>
    </row>
    <row r="70" spans="13:21" x14ac:dyDescent="0.25">
      <c r="M70" s="4">
        <v>43713</v>
      </c>
      <c r="N70">
        <v>0</v>
      </c>
      <c r="O70">
        <v>67</v>
      </c>
      <c r="P70">
        <v>0</v>
      </c>
      <c r="Q70">
        <v>51</v>
      </c>
      <c r="R70">
        <v>0</v>
      </c>
      <c r="S70">
        <v>51</v>
      </c>
      <c r="T70">
        <v>20.833333333333332</v>
      </c>
      <c r="U70">
        <v>51</v>
      </c>
    </row>
    <row r="71" spans="13:21" x14ac:dyDescent="0.25">
      <c r="M71" s="4">
        <v>43714</v>
      </c>
      <c r="N71">
        <v>0</v>
      </c>
      <c r="O71">
        <v>68</v>
      </c>
      <c r="P71">
        <v>0</v>
      </c>
      <c r="Q71">
        <v>52</v>
      </c>
      <c r="R71">
        <v>0</v>
      </c>
      <c r="S71">
        <v>52</v>
      </c>
      <c r="T71">
        <v>20.833333333333332</v>
      </c>
      <c r="U71">
        <v>52</v>
      </c>
    </row>
    <row r="72" spans="13:21" x14ac:dyDescent="0.25">
      <c r="M72" s="4">
        <v>43715</v>
      </c>
      <c r="N72">
        <v>0</v>
      </c>
      <c r="O72">
        <v>69</v>
      </c>
      <c r="P72">
        <v>0</v>
      </c>
      <c r="Q72">
        <v>53</v>
      </c>
      <c r="R72">
        <v>0</v>
      </c>
      <c r="S72">
        <v>53</v>
      </c>
      <c r="T72">
        <v>0</v>
      </c>
      <c r="U72">
        <v>53</v>
      </c>
    </row>
    <row r="73" spans="13:21" x14ac:dyDescent="0.25">
      <c r="M73" s="4">
        <v>43716</v>
      </c>
      <c r="N73">
        <v>0</v>
      </c>
      <c r="O73">
        <v>70</v>
      </c>
      <c r="P73">
        <v>0</v>
      </c>
      <c r="Q73">
        <v>54</v>
      </c>
      <c r="R73">
        <v>0</v>
      </c>
      <c r="S73">
        <v>54</v>
      </c>
      <c r="T73">
        <v>0</v>
      </c>
      <c r="U73">
        <v>54</v>
      </c>
    </row>
    <row r="74" spans="13:21" x14ac:dyDescent="0.25">
      <c r="M74" s="4">
        <v>43717</v>
      </c>
      <c r="N74">
        <v>0</v>
      </c>
      <c r="O74">
        <v>71</v>
      </c>
      <c r="P74">
        <v>0</v>
      </c>
      <c r="Q74">
        <v>55</v>
      </c>
      <c r="R74">
        <v>0</v>
      </c>
      <c r="S74">
        <v>55</v>
      </c>
      <c r="T74">
        <v>20.833333333333332</v>
      </c>
      <c r="U74">
        <v>55</v>
      </c>
    </row>
    <row r="75" spans="13:21" x14ac:dyDescent="0.25">
      <c r="M75" s="4">
        <v>43718</v>
      </c>
      <c r="N75">
        <v>0</v>
      </c>
      <c r="O75">
        <v>72</v>
      </c>
      <c r="P75">
        <v>0</v>
      </c>
      <c r="Q75">
        <v>56</v>
      </c>
      <c r="R75">
        <v>0</v>
      </c>
      <c r="S75">
        <v>56</v>
      </c>
      <c r="T75">
        <v>20.833333333333332</v>
      </c>
      <c r="U75">
        <v>56</v>
      </c>
    </row>
    <row r="76" spans="13:21" x14ac:dyDescent="0.25">
      <c r="M76" s="4">
        <v>43719</v>
      </c>
      <c r="N76">
        <v>0</v>
      </c>
      <c r="O76">
        <v>73</v>
      </c>
      <c r="P76">
        <v>0</v>
      </c>
      <c r="Q76">
        <v>57</v>
      </c>
      <c r="R76">
        <v>0</v>
      </c>
      <c r="S76">
        <v>57</v>
      </c>
      <c r="T76">
        <v>20.833333333333332</v>
      </c>
      <c r="U76">
        <v>57</v>
      </c>
    </row>
    <row r="77" spans="13:21" x14ac:dyDescent="0.25">
      <c r="M77" s="4">
        <v>43720</v>
      </c>
      <c r="N77">
        <v>0</v>
      </c>
      <c r="O77">
        <v>74</v>
      </c>
      <c r="P77">
        <v>0</v>
      </c>
      <c r="Q77">
        <v>58</v>
      </c>
      <c r="R77">
        <v>0</v>
      </c>
      <c r="S77">
        <v>58</v>
      </c>
      <c r="T77">
        <v>20.833333333333332</v>
      </c>
      <c r="U77">
        <v>58</v>
      </c>
    </row>
    <row r="78" spans="13:21" x14ac:dyDescent="0.25">
      <c r="M78" s="4">
        <v>43721</v>
      </c>
      <c r="N78">
        <v>0</v>
      </c>
      <c r="O78">
        <v>75</v>
      </c>
      <c r="P78">
        <v>0</v>
      </c>
      <c r="Q78">
        <v>59</v>
      </c>
      <c r="R78">
        <v>0</v>
      </c>
      <c r="S78">
        <v>59</v>
      </c>
      <c r="T78">
        <v>20.833333333333332</v>
      </c>
      <c r="U78">
        <v>59</v>
      </c>
    </row>
    <row r="79" spans="13:21" x14ac:dyDescent="0.25">
      <c r="M79" s="4">
        <v>43722</v>
      </c>
      <c r="N79">
        <v>0</v>
      </c>
      <c r="O79">
        <v>76</v>
      </c>
      <c r="P79">
        <v>0</v>
      </c>
      <c r="Q79">
        <v>60</v>
      </c>
      <c r="R79">
        <v>0</v>
      </c>
      <c r="S79">
        <v>60</v>
      </c>
      <c r="T79">
        <v>0</v>
      </c>
      <c r="U79">
        <v>60</v>
      </c>
    </row>
    <row r="80" spans="13:21" x14ac:dyDescent="0.25">
      <c r="M80" s="4">
        <v>43723</v>
      </c>
      <c r="N80">
        <v>0</v>
      </c>
      <c r="O80">
        <v>77</v>
      </c>
      <c r="P80">
        <v>0</v>
      </c>
      <c r="Q80">
        <v>61</v>
      </c>
      <c r="R80">
        <v>0</v>
      </c>
      <c r="S80">
        <v>61</v>
      </c>
      <c r="T80">
        <v>0</v>
      </c>
      <c r="U80">
        <v>61</v>
      </c>
    </row>
    <row r="81" spans="13:21" x14ac:dyDescent="0.25">
      <c r="M81" s="4">
        <v>43724</v>
      </c>
      <c r="N81">
        <v>0</v>
      </c>
      <c r="O81">
        <v>78</v>
      </c>
      <c r="P81">
        <v>0</v>
      </c>
      <c r="Q81">
        <v>62</v>
      </c>
      <c r="R81">
        <v>0</v>
      </c>
      <c r="S81">
        <v>62</v>
      </c>
      <c r="T81">
        <v>20.833333333333332</v>
      </c>
      <c r="U81">
        <v>62</v>
      </c>
    </row>
    <row r="82" spans="13:21" x14ac:dyDescent="0.25">
      <c r="M82" s="4">
        <v>43725</v>
      </c>
      <c r="N82">
        <v>0</v>
      </c>
      <c r="O82">
        <v>79</v>
      </c>
      <c r="P82">
        <v>0</v>
      </c>
      <c r="Q82">
        <v>63</v>
      </c>
      <c r="R82">
        <v>0</v>
      </c>
      <c r="S82">
        <v>63</v>
      </c>
      <c r="T82">
        <v>20.833333333333332</v>
      </c>
      <c r="U82">
        <v>63</v>
      </c>
    </row>
    <row r="83" spans="13:21" x14ac:dyDescent="0.25">
      <c r="M83" s="4">
        <v>43726</v>
      </c>
      <c r="N83">
        <v>0</v>
      </c>
      <c r="O83">
        <v>80</v>
      </c>
      <c r="P83">
        <v>0</v>
      </c>
      <c r="Q83">
        <v>64</v>
      </c>
      <c r="R83">
        <v>0</v>
      </c>
      <c r="S83">
        <v>64</v>
      </c>
      <c r="T83">
        <v>20.833333333333332</v>
      </c>
      <c r="U83">
        <v>64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7D8FD6F1-D360-42D8-8DFD-333FD9FC8646}">
      <formula1>1</formula1>
    </dataValidation>
    <dataValidation type="list" showInputMessage="1" showErrorMessage="1" sqref="C11:C17" xr:uid="{47F5EEDE-428A-4757-9913-B7512DE73087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Index</vt:lpstr>
      <vt:lpstr>0000</vt:lpstr>
      <vt:lpstr>0001</vt:lpstr>
      <vt:lpstr>0002</vt:lpstr>
      <vt:lpstr>0003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2019-07-25T21:39:20Z</dcterms:modified>
</cp:coreProperties>
</file>