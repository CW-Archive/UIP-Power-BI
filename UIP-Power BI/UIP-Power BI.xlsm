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source\repos\UIP-Power BI\UIP-Power BI\"/>
    </mc:Choice>
  </mc:AlternateContent>
  <xr:revisionPtr revIDLastSave="0" documentId="13_ncr:1_{71D966A5-B89A-4FE1-8FD2-8B9FA2203EE5}" xr6:coauthVersionLast="41" xr6:coauthVersionMax="41" xr10:uidLastSave="{00000000-0000-0000-0000-000000000000}"/>
  <bookViews>
    <workbookView xWindow="-120" yWindow="480" windowWidth="38640" windowHeight="23640" activeTab="9" xr2:uid="{53EC5176-8524-4654-8E38-866FA530850E}"/>
  </bookViews>
  <sheets>
    <sheet name="Template" sheetId="9" r:id="rId1"/>
    <sheet name="Count" sheetId="3" r:id="rId2"/>
    <sheet name="Length" sheetId="4" r:id="rId3"/>
    <sheet name="Wall Area" sheetId="5" r:id="rId4"/>
    <sheet name="Area" sheetId="1" r:id="rId5"/>
    <sheet name="Volume" sheetId="6" r:id="rId6"/>
    <sheet name="Masonry" sheetId="7" r:id="rId7"/>
    <sheet name="Settings" sheetId="10" r:id="rId8"/>
    <sheet name="All_Measurements" sheetId="8" r:id="rId9"/>
    <sheet name="Index" sheetId="2" r:id="rId10"/>
    <sheet name="0000" sheetId="11" r:id="rId11"/>
  </sheets>
  <definedNames>
    <definedName name="Schedule_Run_Date">Settings!$C$18</definedName>
    <definedName name="Works_Friday" localSheetId="10">Index!#REF!</definedName>
    <definedName name="Works_Friday" localSheetId="7">Settings!$C$16</definedName>
    <definedName name="Works_Friday">Index!#REF!</definedName>
    <definedName name="Works_Monday" localSheetId="10">Index!#REF!</definedName>
    <definedName name="Works_Monday" localSheetId="7">Settings!$C$12</definedName>
    <definedName name="Works_Monday">Index!#REF!</definedName>
    <definedName name="Works_Saturday" localSheetId="10">Index!#REF!</definedName>
    <definedName name="Works_Saturday" localSheetId="7">Settings!$C$17</definedName>
    <definedName name="Works_Saturday">Index!#REF!</definedName>
    <definedName name="Works_Sunday" localSheetId="10">Index!#REF!</definedName>
    <definedName name="Works_Sunday" localSheetId="7">Settings!$C$11</definedName>
    <definedName name="Works_Sunday">Index!#REF!</definedName>
    <definedName name="Works_Thrusday" localSheetId="10">Index!#REF!</definedName>
    <definedName name="Works_Thrusday" localSheetId="7">Settings!$C$15</definedName>
    <definedName name="Works_Thrusday">Index!#REF!</definedName>
    <definedName name="Works_Tuesday" localSheetId="10">Index!#REF!</definedName>
    <definedName name="Works_Tuesday" localSheetId="7">Settings!$C$13</definedName>
    <definedName name="Works_Tuesday">Index!#REF!</definedName>
    <definedName name="Works_Wednesday" localSheetId="10">Index!#REF!</definedName>
    <definedName name="Works_Wednesday" localSheetId="7">Settings!$C$14</definedName>
    <definedName name="Works_Wednesday">Index!#REF!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2" l="1"/>
  <c r="D3" i="2"/>
  <c r="B8" i="2" l="1"/>
  <c r="B9" i="2"/>
  <c r="B7" i="2"/>
  <c r="B6" i="2"/>
  <c r="B5" i="2"/>
  <c r="B4" i="2"/>
</calcChain>
</file>

<file path=xl/sharedStrings.xml><?xml version="1.0" encoding="utf-8"?>
<sst xmlns="http://schemas.openxmlformats.org/spreadsheetml/2006/main" count="67" uniqueCount="36">
  <si>
    <t>Project Information</t>
  </si>
  <si>
    <t>Project Name</t>
  </si>
  <si>
    <t>Project Number</t>
  </si>
  <si>
    <t>Project Manager(s)</t>
  </si>
  <si>
    <t>Project Superintendant(s)</t>
  </si>
  <si>
    <t>Project Engineer(s)</t>
  </si>
  <si>
    <t>Project Assisstant(s)</t>
  </si>
  <si>
    <t>Default Settings</t>
  </si>
  <si>
    <t>Works Sunday</t>
  </si>
  <si>
    <t>Works Monday</t>
  </si>
  <si>
    <t>Works Tuesday</t>
  </si>
  <si>
    <t>Works Wednesday</t>
  </si>
  <si>
    <t>Works Thrusday</t>
  </si>
  <si>
    <t>Works Friday</t>
  </si>
  <si>
    <t>Works Saturday</t>
  </si>
  <si>
    <t>Project Holidays - No production figured</t>
  </si>
  <si>
    <t>Date</t>
  </si>
  <si>
    <t>Schedule Run Date</t>
  </si>
  <si>
    <t>Trade Settings</t>
  </si>
  <si>
    <t>Names</t>
  </si>
  <si>
    <t>Description</t>
  </si>
  <si>
    <t>Start Date</t>
  </si>
  <si>
    <t>Finish Date</t>
  </si>
  <si>
    <t>Area</t>
  </si>
  <si>
    <t>Total</t>
  </si>
  <si>
    <t>Completed Total</t>
  </si>
  <si>
    <t>Trade Settings (Automatically Generated)</t>
  </si>
  <si>
    <t>Column1</t>
  </si>
  <si>
    <t>Areas Table</t>
  </si>
  <si>
    <t>Trade Info</t>
  </si>
  <si>
    <t>Sub Name</t>
  </si>
  <si>
    <t>Trade Name</t>
  </si>
  <si>
    <t>Example</t>
  </si>
  <si>
    <t>Measurements</t>
  </si>
  <si>
    <t>Trade Names</t>
  </si>
  <si>
    <t>Last 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</si>
</sst>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sz val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2" xfId="0" applyBorder="1"/>
    <xf numFmtId="0" fontId="1" fillId="2" borderId="2" xfId="1" applyBorder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0" borderId="3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4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1" fillId="2" borderId="1" xfId="1"/>
    <xf numFmtId="0" fontId="2" fillId="4" borderId="10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5" fillId="0" borderId="0" xfId="2" applyFont="1" applyBorder="1" applyAlignment="1">
      <alignment horizontal="left"/>
    </xf>
    <xf numFmtId="0" fontId="3" fillId="0" borderId="0" xfId="2" applyBorder="1" applyAlignment="1">
      <alignment horizontal="left"/>
    </xf>
    <xf numFmtId="0" fontId="7" fillId="0" borderId="0" xfId="2" applyFont="1" applyBorder="1" applyAlignment="1">
      <alignment horizontal="left"/>
    </xf>
    <xf numFmtId="0" fontId="9" fillId="0" borderId="0" xfId="2" applyFont="1" applyBorder="1" applyAlignment="1">
      <alignment horizontal="left"/>
    </xf>
  </cellXfs>
  <cellStyles count="3">
    <cellStyle name="Hyperlink" xfId="2" builtinId="8"/>
    <cellStyle name="Input" xfId="1" builtinId="20"/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border outline="0">
        <top style="thin">
          <color theme="0" tint="-0.249977111117893"/>
        </top>
      </border>
    </dxf>
    <dxf>
      <border outline="0">
        <bottom style="thin">
          <color theme="0" tint="-0.249977111117893"/>
        </bottom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bottom style="thin">
          <color theme="0" tint="-0.249977111117893"/>
        </bottom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18A1DB-C555-40CB-A21F-A728DE82669B}" name="AreasTable_Template" displayName="AreasTable_Template" ref="E3:K4" insertRow="1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FEC12E2-2D5C-4016-B2ED-CDFF0C8BDF00}" name="Names" dataCellStyle="Input"/>
    <tableColumn id="2" xr3:uid="{CCBE6DD3-F6D7-4047-BFFF-A55C39114383}" name="Area"/>
    <tableColumn id="3" xr3:uid="{A3F243D1-75B1-4890-BF60-7FCDE1BEB88A}" name="Description"/>
    <tableColumn id="4" xr3:uid="{FD07EE07-EDEE-4396-9033-F53AD77BC4A3}" name="Start Date" dataCellStyle="Input"/>
    <tableColumn id="5" xr3:uid="{D25B38CF-AD49-402A-971D-F2CE80308E4B}" name="Finish Date" dataCellStyle="Input"/>
    <tableColumn id="6" xr3:uid="{44ABE4DF-A59E-48E2-9424-F4368F19D2E8}" name="Total"/>
    <tableColumn id="7" xr3:uid="{D059C0B2-EFDD-4E22-8B67-B390908BE233}" name="Completed Total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066101-CFD1-477F-8A3B-D1086118A514}" name="ExportTable_Template" displayName="ExportTable_Template" ref="M3:M4" insertRow="1" totalsRowShown="0">
  <autoFilter ref="M3:M4" xr:uid="{E91115CA-0BA6-4ECC-AF7F-36F1B519716B}"/>
  <tableColumns count="1">
    <tableColumn id="1" xr3:uid="{F5EE036D-4407-43D5-972D-590B648A9D16}" name="Column1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9EF1B7-D63D-42CC-82E1-D02E26901D99}" name="Holidays_Table" displayName="Holidays_Table" ref="E3:E29" totalsRowShown="0">
  <autoFilter ref="E3:E29" xr:uid="{9E5CA91D-2E0C-42D3-90A8-14527BA94903}"/>
  <tableColumns count="1">
    <tableColumn id="1" xr3:uid="{0A735B84-78F7-4DB5-8997-392D6DDC6E50}" name="Date" dataDxfId="12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C34DDF-7AA8-4476-B894-B2B88FED171E}" name="Table6" displayName="Table6" ref="B2:B9" totalsRowShown="0" headerRowDxfId="7" dataDxfId="8" headerRowBorderDxfId="10" tableBorderDxfId="11" totalsRowBorderDxfId="9" dataCellStyle="Hyperlink">
  <autoFilter ref="B2:B9" xr:uid="{271E6750-7AAD-4717-A22E-42FE3167AC23}"/>
  <tableColumns count="1">
    <tableColumn id="1" xr3:uid="{EAEF65C8-5A0D-4A2C-8773-2609BF0E3DBA}" name="Measurements" dataDxfId="2" dataCellStyle="Hyperlink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2F428-136A-4324-9C8C-4493D1286E72}" name="Table7" displayName="Table7" ref="D2:E3" totalsRowShown="0" headerRowDxfId="3" headerRowBorderDxfId="5" tableBorderDxfId="6" totalsRowBorderDxfId="4">
  <autoFilter ref="D2:E3" xr:uid="{D00C40E4-B4A8-4635-A28F-2E70A0E0178A}"/>
  <tableColumns count="2">
    <tableColumn id="1" xr3:uid="{FAE95E1F-8E91-4A91-813A-E1DFF07DA1B3}" name="Trade Names" dataDxfId="1" dataCellStyle="Hyperlink"/>
    <tableColumn id="2" xr3:uid="{BA339C45-E5A0-424F-A303-67A2C317842A}" name="Last Update" dataDxfId="0" dataCellStyle="Hyperlink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C600F3-2D61-4820-AF19-A2C9536A962F}" name="AreasTable_0000" displayName="AreasTable_0000" ref="E3:K4" insertRow="1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700B3B99-2FD4-478A-8D17-AFBA868DFB8E}" name="Names" dataCellStyle="Input"/>
    <tableColumn id="2" xr3:uid="{876DCEB0-4D48-4E71-9D62-E8E0A176788B}" name="Area"/>
    <tableColumn id="3" xr3:uid="{C8F6C6FA-626B-479F-9A7A-1ED1561E7D6F}" name="Description"/>
    <tableColumn id="4" xr3:uid="{B8AB7751-9FB3-4D13-AC90-EF7154E2F71A}" name="Start Date" dataCellStyle="Input"/>
    <tableColumn id="5" xr3:uid="{60C122F9-9876-4BD6-B300-3FAB0A232797}" name="Finish Date" dataCellStyle="Input"/>
    <tableColumn id="6" xr3:uid="{E5595438-070C-40FD-92CC-B7E8EFD17C41}" name="Total"/>
    <tableColumn id="7" xr3:uid="{54D3D615-64D7-4A1A-89AB-AE0944F56EE8}" name="Completed Total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7DE2025-C6D6-4B6F-88A9-956FC7A3F9BE}" name="ExportTable_0000" displayName="ExportTable_0000" ref="M3:M4" insertRow="1" totalsRowShown="0">
  <autoFilter ref="M3:M4" xr:uid="{E91115CA-0BA6-4ECC-AF7F-36F1B519716B}"/>
  <tableColumns count="1">
    <tableColumn id="1" xr3:uid="{14BA36A6-EAD4-446D-BC75-DCD485F081E8}" name="Column1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96465-4F8E-4664-AB3E-66BD3F2DA410}">
  <sheetPr>
    <tabColor theme="0"/>
  </sheetPr>
  <dimension ref="B2:R18"/>
  <sheetViews>
    <sheetView workbookViewId="0">
      <selection activeCell="B27" sqref="B27"/>
    </sheetView>
  </sheetViews>
  <sheetFormatPr defaultRowHeight="15" x14ac:dyDescent="0.25"/>
  <cols>
    <col min="1" max="1" width="2.85546875" customWidth="1"/>
    <col min="2" max="2" width="18" customWidth="1"/>
    <col min="3" max="3" width="15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2" spans="2:18" ht="18.75" x14ac:dyDescent="0.25">
      <c r="B2" s="10" t="s">
        <v>29</v>
      </c>
      <c r="C2" s="10"/>
      <c r="E2" s="12" t="s">
        <v>28</v>
      </c>
      <c r="F2" s="13"/>
      <c r="G2" s="13"/>
      <c r="H2" s="13"/>
      <c r="I2" s="13"/>
      <c r="J2" s="13"/>
      <c r="K2" s="14"/>
      <c r="M2" s="15" t="s">
        <v>26</v>
      </c>
      <c r="N2" s="16"/>
      <c r="O2" s="16"/>
      <c r="P2" s="16"/>
      <c r="Q2" s="16"/>
      <c r="R2" s="16"/>
    </row>
    <row r="3" spans="2:18" x14ac:dyDescent="0.25">
      <c r="B3" t="s">
        <v>31</v>
      </c>
      <c r="E3" s="5" t="s">
        <v>19</v>
      </c>
      <c r="F3" s="6" t="s">
        <v>23</v>
      </c>
      <c r="G3" s="6" t="s">
        <v>20</v>
      </c>
      <c r="H3" s="6" t="s">
        <v>21</v>
      </c>
      <c r="I3" s="6" t="s">
        <v>22</v>
      </c>
      <c r="J3" s="6" t="s">
        <v>24</v>
      </c>
      <c r="K3" s="7" t="s">
        <v>25</v>
      </c>
      <c r="M3" t="s">
        <v>27</v>
      </c>
    </row>
    <row r="4" spans="2:18" x14ac:dyDescent="0.25">
      <c r="B4" t="s">
        <v>30</v>
      </c>
      <c r="E4" s="17"/>
      <c r="F4" s="8"/>
      <c r="G4" s="8"/>
      <c r="H4" s="17"/>
      <c r="I4" s="17"/>
      <c r="J4" s="8"/>
      <c r="K4" s="9"/>
    </row>
    <row r="10" spans="2:18" x14ac:dyDescent="0.25">
      <c r="B10" s="10" t="s">
        <v>18</v>
      </c>
      <c r="C10" s="10"/>
    </row>
    <row r="11" spans="2:18" x14ac:dyDescent="0.25">
      <c r="B11" s="1" t="s">
        <v>8</v>
      </c>
      <c r="C11" s="2"/>
    </row>
    <row r="12" spans="2:18" x14ac:dyDescent="0.25">
      <c r="B12" s="1" t="s">
        <v>9</v>
      </c>
      <c r="C12" s="2"/>
    </row>
    <row r="13" spans="2:18" x14ac:dyDescent="0.25">
      <c r="B13" s="1" t="s">
        <v>10</v>
      </c>
      <c r="C13" s="2"/>
    </row>
    <row r="14" spans="2:18" x14ac:dyDescent="0.25">
      <c r="B14" s="1" t="s">
        <v>11</v>
      </c>
      <c r="C14" s="2"/>
    </row>
    <row r="15" spans="2:18" x14ac:dyDescent="0.25">
      <c r="B15" s="1" t="s">
        <v>12</v>
      </c>
      <c r="C15" s="2"/>
    </row>
    <row r="16" spans="2:18" x14ac:dyDescent="0.25">
      <c r="B16" s="1" t="s">
        <v>13</v>
      </c>
      <c r="C16" s="2"/>
    </row>
    <row r="17" spans="2:3" x14ac:dyDescent="0.25">
      <c r="B17" s="1" t="s">
        <v>14</v>
      </c>
      <c r="C17" s="2"/>
    </row>
    <row r="18" spans="2:3" x14ac:dyDescent="0.25">
      <c r="B18" s="1" t="s">
        <v>17</v>
      </c>
      <c r="C18" s="2"/>
    </row>
  </sheetData>
  <mergeCells count="4">
    <mergeCell ref="B10:C10"/>
    <mergeCell ref="E2:K2"/>
    <mergeCell ref="M2:R2"/>
    <mergeCell ref="B2:C2"/>
  </mergeCell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4CE68-150D-4C5B-8E7A-132A66F7D427}">
  <sheetPr>
    <tabColor theme="0" tint="-0.249977111117893"/>
  </sheetPr>
  <dimension ref="A1"/>
  <sheetViews>
    <sheetView workbookViewId="0">
      <selection activeCell="E30" sqref="E3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B2932-0370-4826-825A-16E53E6F810D}">
  <sheetPr>
    <tabColor theme="0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6B537-8918-42BE-8B76-543A48F79C56}">
  <sheetPr>
    <tabColor theme="0" tint="-0.249977111117893"/>
  </sheetPr>
  <dimension ref="A1"/>
  <sheetViews>
    <sheetView workbookViewId="0">
      <selection activeCell="J30" sqref="J3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DD0A9-C3A9-46DE-A91A-B62EE611896B}">
  <sheetPr codeName="Sheet1">
    <tabColor theme="0" tint="-0.249977111117893"/>
  </sheetPr>
  <dimension ref="A1"/>
  <sheetViews>
    <sheetView workbookViewId="0">
      <selection activeCell="G36" sqref="G3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06CEC-369C-4EE7-B68E-15D52040F250}">
  <sheetPr>
    <tabColor theme="0" tint="-0.249977111117893"/>
  </sheetPr>
  <dimension ref="A1"/>
  <sheetViews>
    <sheetView workbookViewId="0">
      <selection activeCell="I49" sqref="I49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B25AE-49B1-4A28-BC65-887DD5E529BF}">
  <sheetPr>
    <tabColor theme="0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D45B-BC40-4004-97AB-C1AD9D1D514A}">
  <sheetPr codeName="Sheet3">
    <tabColor theme="4" tint="0.39997558519241921"/>
  </sheetPr>
  <dimension ref="B2:E29"/>
  <sheetViews>
    <sheetView showGridLines="0" workbookViewId="0">
      <selection activeCell="B10" sqref="B10:C18"/>
    </sheetView>
  </sheetViews>
  <sheetFormatPr defaultRowHeight="15" x14ac:dyDescent="0.25"/>
  <cols>
    <col min="1" max="1" width="2.85546875" customWidth="1"/>
    <col min="2" max="2" width="24.28515625" bestFit="1" customWidth="1"/>
    <col min="3" max="3" width="31" customWidth="1"/>
    <col min="4" max="4" width="2.85546875" customWidth="1"/>
    <col min="5" max="5" width="23.28515625" customWidth="1"/>
  </cols>
  <sheetData>
    <row r="2" spans="2:5" ht="28.5" customHeight="1" x14ac:dyDescent="0.25">
      <c r="B2" s="11" t="s">
        <v>0</v>
      </c>
      <c r="C2" s="11"/>
      <c r="E2" s="3" t="s">
        <v>15</v>
      </c>
    </row>
    <row r="3" spans="2:5" ht="15" customHeight="1" x14ac:dyDescent="0.25">
      <c r="B3" s="1" t="s">
        <v>1</v>
      </c>
      <c r="C3" s="2"/>
      <c r="E3" t="s">
        <v>16</v>
      </c>
    </row>
    <row r="4" spans="2:5" x14ac:dyDescent="0.25">
      <c r="B4" s="1" t="s">
        <v>2</v>
      </c>
      <c r="C4" s="2"/>
      <c r="E4" s="4">
        <v>43576</v>
      </c>
    </row>
    <row r="5" spans="2:5" x14ac:dyDescent="0.25">
      <c r="B5" s="1" t="s">
        <v>3</v>
      </c>
      <c r="C5" s="2"/>
      <c r="E5" s="4">
        <v>43590</v>
      </c>
    </row>
    <row r="6" spans="2:5" x14ac:dyDescent="0.25">
      <c r="B6" s="1" t="s">
        <v>4</v>
      </c>
      <c r="C6" s="2"/>
      <c r="E6" s="4">
        <v>43612</v>
      </c>
    </row>
    <row r="7" spans="2:5" x14ac:dyDescent="0.25">
      <c r="B7" s="1" t="s">
        <v>5</v>
      </c>
      <c r="C7" s="2"/>
      <c r="E7" s="4">
        <v>43650</v>
      </c>
    </row>
    <row r="8" spans="2:5" x14ac:dyDescent="0.25">
      <c r="B8" s="1" t="s">
        <v>6</v>
      </c>
      <c r="C8" s="2"/>
      <c r="E8" s="4">
        <v>43710</v>
      </c>
    </row>
    <row r="9" spans="2:5" x14ac:dyDescent="0.25">
      <c r="E9" s="4">
        <v>43780</v>
      </c>
    </row>
    <row r="10" spans="2:5" ht="23.25" x14ac:dyDescent="0.25">
      <c r="B10" s="11" t="s">
        <v>7</v>
      </c>
      <c r="C10" s="11"/>
      <c r="E10" s="4">
        <v>43797</v>
      </c>
    </row>
    <row r="11" spans="2:5" x14ac:dyDescent="0.25">
      <c r="B11" s="1" t="s">
        <v>8</v>
      </c>
      <c r="C11" s="2"/>
      <c r="E11" s="4">
        <v>43798</v>
      </c>
    </row>
    <row r="12" spans="2:5" x14ac:dyDescent="0.25">
      <c r="B12" s="1" t="s">
        <v>9</v>
      </c>
      <c r="C12" s="2"/>
      <c r="E12" s="4">
        <v>43823</v>
      </c>
    </row>
    <row r="13" spans="2:5" x14ac:dyDescent="0.25">
      <c r="B13" s="1" t="s">
        <v>10</v>
      </c>
      <c r="C13" s="2"/>
      <c r="E13" s="4">
        <v>43824</v>
      </c>
    </row>
    <row r="14" spans="2:5" x14ac:dyDescent="0.25">
      <c r="B14" s="1" t="s">
        <v>11</v>
      </c>
      <c r="C14" s="2"/>
      <c r="E14" s="4">
        <v>43825</v>
      </c>
    </row>
    <row r="15" spans="2:5" x14ac:dyDescent="0.25">
      <c r="B15" s="1" t="s">
        <v>12</v>
      </c>
      <c r="C15" s="2"/>
      <c r="E15" s="4">
        <v>43830</v>
      </c>
    </row>
    <row r="16" spans="2:5" x14ac:dyDescent="0.25">
      <c r="B16" s="1" t="s">
        <v>13</v>
      </c>
      <c r="C16" s="2"/>
      <c r="E16" s="4">
        <v>43831</v>
      </c>
    </row>
    <row r="17" spans="2:5" x14ac:dyDescent="0.25">
      <c r="B17" s="1" t="s">
        <v>14</v>
      </c>
      <c r="C17" s="2"/>
      <c r="E17" s="4">
        <v>43933</v>
      </c>
    </row>
    <row r="18" spans="2:5" x14ac:dyDescent="0.25">
      <c r="B18" s="1" t="s">
        <v>17</v>
      </c>
      <c r="C18" s="2"/>
      <c r="E18" s="4">
        <v>43956</v>
      </c>
    </row>
    <row r="19" spans="2:5" x14ac:dyDescent="0.25">
      <c r="E19" s="4">
        <v>43976</v>
      </c>
    </row>
    <row r="20" spans="2:5" x14ac:dyDescent="0.25">
      <c r="E20" s="4">
        <v>44016</v>
      </c>
    </row>
    <row r="21" spans="2:5" x14ac:dyDescent="0.25">
      <c r="E21" s="4">
        <v>44081</v>
      </c>
    </row>
    <row r="22" spans="2:5" x14ac:dyDescent="0.25">
      <c r="E22" s="4">
        <v>44146</v>
      </c>
    </row>
    <row r="23" spans="2:5" x14ac:dyDescent="0.25">
      <c r="E23" s="4">
        <v>44161</v>
      </c>
    </row>
    <row r="24" spans="2:5" x14ac:dyDescent="0.25">
      <c r="E24" s="4">
        <v>44162</v>
      </c>
    </row>
    <row r="25" spans="2:5" x14ac:dyDescent="0.25">
      <c r="E25" s="4">
        <v>44189</v>
      </c>
    </row>
    <row r="26" spans="2:5" x14ac:dyDescent="0.25">
      <c r="E26" s="4">
        <v>44190</v>
      </c>
    </row>
    <row r="27" spans="2:5" x14ac:dyDescent="0.25">
      <c r="E27" s="4">
        <v>44196</v>
      </c>
    </row>
    <row r="28" spans="2:5" x14ac:dyDescent="0.25">
      <c r="E28" s="4">
        <v>44197</v>
      </c>
    </row>
    <row r="29" spans="2:5" x14ac:dyDescent="0.25">
      <c r="E29" s="4">
        <v>44290</v>
      </c>
    </row>
  </sheetData>
  <mergeCells count="2">
    <mergeCell ref="B2:C2"/>
    <mergeCell ref="B10:C10"/>
  </mergeCells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0AD80-95B9-474F-A979-45453766F9BA}">
  <sheetPr>
    <tabColor theme="4" tint="0.3999755851924192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AB93-6874-4502-B9DD-37581EA81046}">
  <sheetPr codeName="Sheet2">
    <tabColor theme="4" tint="0.39997558519241921"/>
  </sheetPr>
  <dimension ref="A1:M26"/>
  <sheetViews>
    <sheetView showGridLines="0" tabSelected="1" workbookViewId="0">
      <selection activeCell="E18" sqref="E18"/>
    </sheetView>
  </sheetViews>
  <sheetFormatPr defaultRowHeight="15" x14ac:dyDescent="0.25"/>
  <cols>
    <col min="1" max="1" width="2.85546875" customWidth="1"/>
    <col min="2" max="2" width="23.140625" bestFit="1" customWidth="1"/>
    <col min="3" max="3" width="2.85546875" customWidth="1"/>
    <col min="4" max="4" width="22.42578125" bestFit="1" customWidth="1"/>
    <col min="5" max="5" width="18.42578125" customWidth="1"/>
  </cols>
  <sheetData>
    <row r="1" spans="1:13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3" ht="15.75" x14ac:dyDescent="0.25">
      <c r="A2" s="6"/>
      <c r="B2" s="20" t="s">
        <v>33</v>
      </c>
      <c r="C2" s="6"/>
      <c r="D2" s="20" t="s">
        <v>34</v>
      </c>
      <c r="E2" s="20" t="s">
        <v>35</v>
      </c>
      <c r="F2" s="6"/>
      <c r="G2" s="6"/>
      <c r="H2" s="6"/>
      <c r="I2" s="6"/>
      <c r="J2" s="6"/>
      <c r="K2" s="6"/>
      <c r="L2" s="6"/>
      <c r="M2" s="6"/>
    </row>
    <row r="3" spans="1:13" ht="15" customHeight="1" x14ac:dyDescent="0.25">
      <c r="A3" s="6"/>
      <c r="B3" s="22" t="str">
        <f>HYPERLINK("#All_Measurements!A1","All_Measurements")</f>
        <v>All_Measurements</v>
      </c>
      <c r="C3" s="6"/>
      <c r="D3" s="22" t="str">
        <f>HYPERLINK("#0000!A1", "Example")</f>
        <v>Example</v>
      </c>
      <c r="E3" s="23"/>
      <c r="F3" s="6"/>
      <c r="G3" s="6"/>
      <c r="H3" s="6"/>
      <c r="I3" s="6"/>
      <c r="J3" s="6"/>
      <c r="K3" s="6"/>
      <c r="L3" s="6"/>
      <c r="M3" s="6"/>
    </row>
    <row r="4" spans="1:13" ht="15.75" x14ac:dyDescent="0.25">
      <c r="A4" s="6"/>
      <c r="B4" s="21" t="str">
        <f>HYPERLINK("#Count!A1", "Count")</f>
        <v>Count</v>
      </c>
      <c r="C4" s="6"/>
      <c r="D4" s="21"/>
      <c r="E4" s="24"/>
      <c r="F4" s="6"/>
      <c r="G4" s="6"/>
      <c r="H4" s="6"/>
      <c r="I4" s="6"/>
      <c r="J4" s="6"/>
      <c r="K4" s="6"/>
      <c r="L4" s="6"/>
      <c r="M4" s="6"/>
    </row>
    <row r="5" spans="1:13" ht="15.75" x14ac:dyDescent="0.25">
      <c r="A5" s="6"/>
      <c r="B5" s="21" t="str">
        <f>HYPERLINK("#Length!A1", "Length")</f>
        <v>Length</v>
      </c>
      <c r="C5" s="6"/>
      <c r="D5" s="21"/>
      <c r="E5" s="24"/>
      <c r="F5" s="6"/>
      <c r="G5" s="6"/>
      <c r="H5" s="6"/>
      <c r="I5" s="6"/>
      <c r="J5" s="6"/>
      <c r="K5" s="6"/>
      <c r="L5" s="6"/>
      <c r="M5" s="6"/>
    </row>
    <row r="6" spans="1:13" ht="15.75" x14ac:dyDescent="0.25">
      <c r="A6" s="6"/>
      <c r="B6" s="21" t="str">
        <f>HYPERLINK("#'Wall Area'!A1", "Wall Area")</f>
        <v>Wall Area</v>
      </c>
      <c r="C6" s="6"/>
      <c r="D6" s="21"/>
      <c r="E6" s="24"/>
      <c r="F6" s="6"/>
      <c r="G6" s="6"/>
      <c r="H6" s="6"/>
      <c r="I6" s="6"/>
      <c r="J6" s="6"/>
      <c r="K6" s="6"/>
      <c r="L6" s="6"/>
      <c r="M6" s="6"/>
    </row>
    <row r="7" spans="1:13" ht="15.75" x14ac:dyDescent="0.25">
      <c r="A7" s="6"/>
      <c r="B7" s="21" t="str">
        <f>HYPERLINK("#Area!A1", "Area")</f>
        <v>Area</v>
      </c>
      <c r="C7" s="6"/>
      <c r="D7" s="21"/>
      <c r="E7" s="24"/>
      <c r="F7" s="6"/>
      <c r="G7" s="6"/>
      <c r="H7" s="6"/>
      <c r="I7" s="6"/>
      <c r="J7" s="6"/>
      <c r="K7" s="6"/>
      <c r="L7" s="6"/>
      <c r="M7" s="6"/>
    </row>
    <row r="8" spans="1:13" ht="15.75" x14ac:dyDescent="0.25">
      <c r="A8" s="6"/>
      <c r="B8" s="21" t="str">
        <f>HYPERLINK("#Volume!A1", "Volume")</f>
        <v>Volume</v>
      </c>
      <c r="C8" s="6"/>
      <c r="D8" s="21"/>
      <c r="E8" s="24"/>
      <c r="F8" s="6"/>
      <c r="G8" s="6"/>
      <c r="H8" s="6"/>
      <c r="I8" s="6"/>
      <c r="J8" s="6"/>
      <c r="K8" s="6"/>
      <c r="L8" s="6"/>
      <c r="M8" s="6"/>
    </row>
    <row r="9" spans="1:13" ht="15.75" x14ac:dyDescent="0.25">
      <c r="A9" s="6"/>
      <c r="B9" s="21" t="str">
        <f>HYPERLINK("#Masonry!A1", "Masonry")</f>
        <v>Masonry</v>
      </c>
      <c r="C9" s="6"/>
      <c r="D9" s="21"/>
      <c r="E9" s="24"/>
      <c r="F9" s="6"/>
      <c r="G9" s="6"/>
      <c r="H9" s="6"/>
      <c r="I9" s="6"/>
      <c r="J9" s="6"/>
      <c r="K9" s="6"/>
      <c r="L9" s="6"/>
      <c r="M9" s="6"/>
    </row>
    <row r="10" spans="1:13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</row>
    <row r="11" spans="1:13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</row>
    <row r="13" spans="1:13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</row>
    <row r="14" spans="1:13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</row>
    <row r="15" spans="1:13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</row>
    <row r="16" spans="1:13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</row>
    <row r="17" spans="1:13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</row>
    <row r="18" spans="1:13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</row>
    <row r="19" spans="1:13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</row>
    <row r="20" spans="1:13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</row>
    <row r="21" spans="1:13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</row>
    <row r="22" spans="1:13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</row>
    <row r="23" spans="1:13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</row>
    <row r="24" spans="1:13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</row>
    <row r="25" spans="1:13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</row>
    <row r="26" spans="1:13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</row>
  </sheetData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EAE92-1589-4F00-A0F6-ECFDAA913AEA}">
  <sheetPr>
    <tabColor theme="5" tint="0.79998168889431442"/>
  </sheetPr>
  <dimension ref="B2:R18"/>
  <sheetViews>
    <sheetView workbookViewId="0">
      <selection activeCell="G40" sqref="G40"/>
    </sheetView>
  </sheetViews>
  <sheetFormatPr defaultRowHeight="15" x14ac:dyDescent="0.25"/>
  <cols>
    <col min="1" max="1" width="2.85546875" customWidth="1"/>
    <col min="2" max="2" width="17.140625" customWidth="1"/>
    <col min="3" max="3" width="16.570312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2" spans="2:18" ht="18.75" x14ac:dyDescent="0.25">
      <c r="B2" s="10" t="s">
        <v>29</v>
      </c>
      <c r="C2" s="10"/>
      <c r="E2" s="12" t="s">
        <v>28</v>
      </c>
      <c r="F2" s="13"/>
      <c r="G2" s="13"/>
      <c r="H2" s="13"/>
      <c r="I2" s="13"/>
      <c r="J2" s="13"/>
      <c r="K2" s="14"/>
      <c r="M2" s="15" t="s">
        <v>26</v>
      </c>
      <c r="N2" s="16"/>
      <c r="O2" s="16"/>
      <c r="P2" s="16"/>
      <c r="Q2" s="16"/>
      <c r="R2" s="16"/>
    </row>
    <row r="3" spans="2:18" x14ac:dyDescent="0.25">
      <c r="B3" t="s">
        <v>31</v>
      </c>
      <c r="C3" t="s">
        <v>32</v>
      </c>
      <c r="E3" s="5" t="s">
        <v>19</v>
      </c>
      <c r="F3" s="6" t="s">
        <v>23</v>
      </c>
      <c r="G3" s="6" t="s">
        <v>20</v>
      </c>
      <c r="H3" s="6" t="s">
        <v>21</v>
      </c>
      <c r="I3" s="6" t="s">
        <v>22</v>
      </c>
      <c r="J3" s="6" t="s">
        <v>24</v>
      </c>
      <c r="K3" s="7" t="s">
        <v>25</v>
      </c>
      <c r="M3" t="s">
        <v>27</v>
      </c>
    </row>
    <row r="4" spans="2:18" x14ac:dyDescent="0.25">
      <c r="B4" t="s">
        <v>30</v>
      </c>
      <c r="E4" s="17"/>
      <c r="F4" s="8"/>
      <c r="G4" s="8"/>
      <c r="H4" s="17"/>
      <c r="I4" s="17"/>
      <c r="J4" s="8"/>
      <c r="K4" s="9"/>
    </row>
    <row r="5" spans="2:18" x14ac:dyDescent="0.25">
      <c r="B5" t="s">
        <v>35</v>
      </c>
    </row>
    <row r="10" spans="2:18" x14ac:dyDescent="0.25">
      <c r="B10" s="18" t="s">
        <v>18</v>
      </c>
      <c r="C10" s="19"/>
    </row>
    <row r="11" spans="2:18" x14ac:dyDescent="0.25">
      <c r="B11" s="1" t="s">
        <v>8</v>
      </c>
      <c r="C11" s="2"/>
    </row>
    <row r="12" spans="2:18" x14ac:dyDescent="0.25">
      <c r="B12" s="1" t="s">
        <v>9</v>
      </c>
      <c r="C12" s="2"/>
    </row>
    <row r="13" spans="2:18" x14ac:dyDescent="0.25">
      <c r="B13" s="1" t="s">
        <v>10</v>
      </c>
      <c r="C13" s="2"/>
    </row>
    <row r="14" spans="2:18" x14ac:dyDescent="0.25">
      <c r="B14" s="1" t="s">
        <v>11</v>
      </c>
      <c r="C14" s="2"/>
    </row>
    <row r="15" spans="2:18" x14ac:dyDescent="0.25">
      <c r="B15" s="1" t="s">
        <v>12</v>
      </c>
      <c r="C15" s="2"/>
    </row>
    <row r="16" spans="2:18" x14ac:dyDescent="0.25">
      <c r="B16" s="1" t="s">
        <v>13</v>
      </c>
      <c r="C16" s="2"/>
    </row>
    <row r="17" spans="2:3" x14ac:dyDescent="0.25">
      <c r="B17" s="1" t="s">
        <v>14</v>
      </c>
      <c r="C17" s="2"/>
    </row>
    <row r="18" spans="2:3" x14ac:dyDescent="0.25">
      <c r="B18" s="1" t="s">
        <v>17</v>
      </c>
      <c r="C18" s="2"/>
    </row>
  </sheetData>
  <mergeCells count="4">
    <mergeCell ref="E2:K2"/>
    <mergeCell ref="M2:R2"/>
    <mergeCell ref="B2:C2"/>
    <mergeCell ref="B10:C10"/>
  </mergeCell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Template</vt:lpstr>
      <vt:lpstr>Count</vt:lpstr>
      <vt:lpstr>Length</vt:lpstr>
      <vt:lpstr>Wall Area</vt:lpstr>
      <vt:lpstr>Area</vt:lpstr>
      <vt:lpstr>Volume</vt:lpstr>
      <vt:lpstr>Masonry</vt:lpstr>
      <vt:lpstr>Settings</vt:lpstr>
      <vt:lpstr>All_Measurements</vt:lpstr>
      <vt:lpstr>Index</vt:lpstr>
      <vt:lpstr>0000</vt:lpstr>
      <vt:lpstr>Schedule_Run_Date</vt:lpstr>
      <vt:lpstr>Settings!Works_Friday</vt:lpstr>
      <vt:lpstr>Settings!Works_Monday</vt:lpstr>
      <vt:lpstr>Settings!Works_Saturday</vt:lpstr>
      <vt:lpstr>Settings!Works_Sunday</vt:lpstr>
      <vt:lpstr>Settings!Works_Thrusday</vt:lpstr>
      <vt:lpstr>Settings!Works_Tuesday</vt:lpstr>
      <vt:lpstr>Settings!Works_Wednesday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2019-07-19T22:25:03Z</cp:lastPrinted>
  <dcterms:created xsi:type="dcterms:W3CDTF">2019-07-19T19:22:59Z</dcterms:created>
  <dcterms:modified xsi:type="dcterms:W3CDTF">2019-07-19T23:02:05Z</dcterms:modified>
</cp:coreProperties>
</file>