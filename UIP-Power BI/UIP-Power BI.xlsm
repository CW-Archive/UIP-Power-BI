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source\repos\UIP-Power BI\UIP-Power BI\"/>
    </mc:Choice>
  </mc:AlternateContent>
  <xr:revisionPtr revIDLastSave="0" documentId="13_ncr:1_{C6313A91-3291-4426-BE55-A4270D3655E7}" xr6:coauthVersionLast="41" xr6:coauthVersionMax="41" xr10:uidLastSave="{00000000-0000-0000-0000-000000000000}"/>
  <bookViews>
    <workbookView xWindow="-120" yWindow="480" windowWidth="38640" windowHeight="23640" activeTab="11" xr2:uid="{53EC5176-8524-4654-8E38-866FA530850E}"/>
  </bookViews>
  <sheets>
    <sheet name="Template" sheetId="9" r:id="rId1"/>
    <sheet name="Count" sheetId="3" r:id="rId2"/>
    <sheet name="Length" sheetId="20" r:id="rId3"/>
    <sheet name="Wall Area" sheetId="21" r:id="rId4"/>
    <sheet name="Area" sheetId="22" r:id="rId5"/>
    <sheet name="Volume" sheetId="23" r:id="rId6"/>
    <sheet name="Masonry" sheetId="24" r:id="rId7"/>
    <sheet name="Settings" sheetId="10" r:id="rId8"/>
    <sheet name="Index" sheetId="2" r:id="rId9"/>
    <sheet name="0000" sheetId="19" r:id="rId10"/>
    <sheet name="0001" sheetId="25" r:id="rId11"/>
    <sheet name="0002" sheetId="26" r:id="rId12"/>
  </sheets>
  <functionGroups builtInGroupCount="19"/>
  <definedNames>
    <definedName name="Debug_Mode">Settings!$C$22</definedName>
    <definedName name="Development_Mode">Settings!$C$23</definedName>
    <definedName name="Schedule_Run_Date">Settings!$C$18</definedName>
    <definedName name="Works_Friday">Settings!$C$16</definedName>
    <definedName name="Works_Monday">Settings!$C$12</definedName>
    <definedName name="Works_Saturday">Settings!$C$17</definedName>
    <definedName name="Works_Sunday">Settings!$C$11</definedName>
    <definedName name="Works_Thrusday">Settings!$C$15</definedName>
    <definedName name="Works_Tuesday">Settings!$C$13</definedName>
    <definedName name="Works_Wednesday">Settings!$C$14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8" i="26" l="1"/>
  <c r="C17" i="26"/>
  <c r="C16" i="26"/>
  <c r="C15" i="26"/>
  <c r="C14" i="26"/>
  <c r="C13" i="26"/>
  <c r="C12" i="26"/>
  <c r="C11" i="26"/>
  <c r="B1" i="26"/>
  <c r="E5" i="2"/>
  <c r="F5" i="2"/>
  <c r="C18" i="25" l="1"/>
  <c r="C17" i="25"/>
  <c r="C16" i="25"/>
  <c r="C15" i="25"/>
  <c r="C14" i="25"/>
  <c r="C13" i="25"/>
  <c r="C12" i="25"/>
  <c r="C11" i="25"/>
  <c r="B1" i="25"/>
  <c r="F4" i="2"/>
  <c r="E4" i="2"/>
  <c r="B1" i="24" l="1"/>
  <c r="B1" i="23"/>
  <c r="B1" i="22"/>
  <c r="B1" i="21"/>
  <c r="B1" i="3"/>
  <c r="B1" i="20"/>
  <c r="K4" i="9"/>
  <c r="G4" i="9"/>
  <c r="J4" i="9"/>
  <c r="F4" i="9"/>
  <c r="B1" i="19" l="1"/>
  <c r="B1" i="9"/>
  <c r="C18" i="19" l="1"/>
  <c r="C17" i="19"/>
  <c r="C16" i="19"/>
  <c r="C15" i="19"/>
  <c r="C14" i="19"/>
  <c r="C13" i="19"/>
  <c r="C12" i="19"/>
  <c r="C11" i="19"/>
  <c r="C18" i="9"/>
  <c r="C12" i="9"/>
  <c r="C17" i="9"/>
  <c r="C16" i="9"/>
  <c r="C15" i="9"/>
  <c r="C14" i="9"/>
  <c r="C13" i="9"/>
  <c r="C11" i="9"/>
  <c r="E3" i="2"/>
  <c r="F3" i="2"/>
  <c r="B7" i="2" l="1"/>
  <c r="B8" i="2"/>
  <c r="B6" i="2"/>
  <c r="B5" i="2"/>
  <c r="B4" i="2"/>
  <c r="B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F2" authorId="0" shapeId="0" xr:uid="{8BAE2D12-C2C7-49AB-B2C7-B4CF907A6542}">
      <text>
        <r>
          <rPr>
            <b/>
            <sz val="9"/>
            <color indexed="81"/>
            <rFont val="Tahoma"/>
            <family val="2"/>
          </rPr>
          <t>Total Wall Area</t>
        </r>
      </text>
    </comment>
  </commentList>
</comments>
</file>

<file path=xl/sharedStrings.xml><?xml version="1.0" encoding="utf-8"?>
<sst xmlns="http://schemas.openxmlformats.org/spreadsheetml/2006/main" count="245" uniqueCount="79">
  <si>
    <t>Project Information</t>
  </si>
  <si>
    <t>Project Name</t>
  </si>
  <si>
    <t>Project Number</t>
  </si>
  <si>
    <t>Project Manager(s)</t>
  </si>
  <si>
    <t>Project Superintendant(s)</t>
  </si>
  <si>
    <t>Project Engineer(s)</t>
  </si>
  <si>
    <t>Project Assisstant(s)</t>
  </si>
  <si>
    <t>Default Settings</t>
  </si>
  <si>
    <t>Works Sunday</t>
  </si>
  <si>
    <t>Works Monday</t>
  </si>
  <si>
    <t>Works Tuesday</t>
  </si>
  <si>
    <t>Works Wednesday</t>
  </si>
  <si>
    <t>Works Thrusday</t>
  </si>
  <si>
    <t>Works Friday</t>
  </si>
  <si>
    <t>Works Saturday</t>
  </si>
  <si>
    <t>Project Holidays - No production figured</t>
  </si>
  <si>
    <t>Date</t>
  </si>
  <si>
    <t>Schedule Run Date</t>
  </si>
  <si>
    <t>Trade Settings</t>
  </si>
  <si>
    <t>Description</t>
  </si>
  <si>
    <t>Start Date</t>
  </si>
  <si>
    <t>Finish Date</t>
  </si>
  <si>
    <t>Area</t>
  </si>
  <si>
    <t>Total</t>
  </si>
  <si>
    <t>Completed Total</t>
  </si>
  <si>
    <t>Trade Settings (Automatically Generated)</t>
  </si>
  <si>
    <t>Column1</t>
  </si>
  <si>
    <t>Areas Table</t>
  </si>
  <si>
    <t>Trade Info</t>
  </si>
  <si>
    <t>Sub Name</t>
  </si>
  <si>
    <t>Trade Name</t>
  </si>
  <si>
    <t>Measurements</t>
  </si>
  <si>
    <t>Last Update</t>
  </si>
  <si>
    <t>NO</t>
  </si>
  <si>
    <t>YES</t>
  </si>
  <si>
    <t>Trade ID</t>
  </si>
  <si>
    <t>Example Sub</t>
  </si>
  <si>
    <t>0000</t>
  </si>
  <si>
    <t>Example Trade</t>
  </si>
  <si>
    <t>TRADE NAME</t>
  </si>
  <si>
    <t>SUB NAME</t>
  </si>
  <si>
    <t>MID</t>
  </si>
  <si>
    <t>Other Settings</t>
  </si>
  <si>
    <t>Debug Mode</t>
  </si>
  <si>
    <t>Development Mode</t>
  </si>
  <si>
    <t>Trade PDF Names</t>
  </si>
  <si>
    <t>Status Complete</t>
  </si>
  <si>
    <t>Status 25 Percent</t>
  </si>
  <si>
    <t>Status 50 Percent</t>
  </si>
  <si>
    <t>Status 75 Percent</t>
  </si>
  <si>
    <t>Block Multiplier</t>
  </si>
  <si>
    <t>Status 4</t>
  </si>
  <si>
    <t>Status 8</t>
  </si>
  <si>
    <t>BB Total SF</t>
  </si>
  <si>
    <t>Status 12</t>
  </si>
  <si>
    <t>Status 16</t>
  </si>
  <si>
    <t>Status 20</t>
  </si>
  <si>
    <t>Status 24</t>
  </si>
  <si>
    <t>Status 28</t>
  </si>
  <si>
    <t>Label</t>
  </si>
  <si>
    <t>Trade Export (Automatically Generated)</t>
  </si>
  <si>
    <t>C1</t>
  </si>
  <si>
    <t>C2</t>
  </si>
  <si>
    <t>C3</t>
  </si>
  <si>
    <t>C4</t>
  </si>
  <si>
    <t>Area A</t>
  </si>
  <si>
    <t>Area B</t>
  </si>
  <si>
    <t>Area C</t>
  </si>
  <si>
    <t>Area D</t>
  </si>
  <si>
    <t>PlanTotal_C2</t>
  </si>
  <si>
    <t>PlanTotal_C3</t>
  </si>
  <si>
    <t>CompTotal_C2</t>
  </si>
  <si>
    <t>CompTotal_C3</t>
  </si>
  <si>
    <t>PlanTotal_C4</t>
  </si>
  <si>
    <t>CompTotal_C4</t>
  </si>
  <si>
    <t>0001</t>
  </si>
  <si>
    <t>PlanTotal_C1</t>
  </si>
  <si>
    <t>CompTotal_C1</t>
  </si>
  <si>
    <t>0002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</si>
</sst>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8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2F2F2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3" fillId="0" borderId="0" applyNumberFormat="0" applyFill="0" applyBorder="0" applyAlignment="0" applyProtection="0"/>
    <xf numFmtId="0" fontId="9" fillId="6" borderId="1" applyNumberFormat="0" applyAlignment="0" applyProtection="0"/>
    <xf numFmtId="0" fontId="10" fillId="0" borderId="10" applyNumberFormat="0" applyFill="0" applyAlignment="0" applyProtection="0"/>
  </cellStyleXfs>
  <cellXfs count="35">
    <xf numFmtId="0" fontId="0" fillId="0" borderId="0" xfId="0"/>
    <xf numFmtId="0" fontId="0" fillId="0" borderId="2" xfId="0" applyBorder="1"/>
    <xf numFmtId="0" fontId="1" fillId="2" borderId="2" xfId="1" applyBorder="1"/>
    <xf numFmtId="0" fontId="0" fillId="0" borderId="0" xfId="0" applyAlignment="1">
      <alignment horizontal="center" vertical="center" wrapText="1"/>
    </xf>
    <xf numFmtId="14" fontId="0" fillId="0" borderId="0" xfId="0" applyNumberFormat="1"/>
    <xf numFmtId="0" fontId="0" fillId="0" borderId="3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2" borderId="1" xfId="1"/>
    <xf numFmtId="0" fontId="4" fillId="3" borderId="0" xfId="0" applyFont="1" applyFill="1" applyBorder="1" applyAlignment="1">
      <alignment horizontal="center" vertical="center"/>
    </xf>
    <xf numFmtId="0" fontId="5" fillId="0" borderId="0" xfId="2" applyFont="1" applyBorder="1" applyAlignment="1">
      <alignment horizontal="left"/>
    </xf>
    <xf numFmtId="14" fontId="1" fillId="2" borderId="2" xfId="1" applyNumberFormat="1" applyBorder="1" applyAlignment="1">
      <alignment horizontal="left"/>
    </xf>
    <xf numFmtId="0" fontId="9" fillId="6" borderId="1" xfId="3"/>
    <xf numFmtId="14" fontId="7" fillId="0" borderId="0" xfId="2" applyNumberFormat="1" applyFont="1" applyBorder="1" applyAlignment="1">
      <alignment horizontal="left"/>
    </xf>
    <xf numFmtId="0" fontId="3" fillId="0" borderId="0" xfId="2" applyFont="1"/>
    <xf numFmtId="0" fontId="0" fillId="0" borderId="0" xfId="0" applyFont="1" applyBorder="1"/>
    <xf numFmtId="0" fontId="3" fillId="0" borderId="0" xfId="2"/>
    <xf numFmtId="0" fontId="1" fillId="2" borderId="2" xfId="1" applyBorder="1" applyAlignment="1">
      <alignment horizontal="left"/>
    </xf>
    <xf numFmtId="0" fontId="11" fillId="0" borderId="0" xfId="0" applyFont="1"/>
    <xf numFmtId="0" fontId="10" fillId="0" borderId="10" xfId="4"/>
    <xf numFmtId="49" fontId="0" fillId="0" borderId="0" xfId="0" applyNumberFormat="1"/>
    <xf numFmtId="0" fontId="1" fillId="2" borderId="11" xfId="1" applyBorder="1"/>
    <xf numFmtId="14" fontId="1" fillId="2" borderId="1" xfId="1" applyNumberFormat="1"/>
    <xf numFmtId="14" fontId="1" fillId="2" borderId="11" xfId="1" applyNumberFormat="1" applyBorder="1"/>
    <xf numFmtId="49" fontId="3" fillId="0" borderId="0" xfId="2" applyNumberFormat="1" applyFont="1" applyAlignment="1">
      <alignment horizontal="left"/>
    </xf>
    <xf numFmtId="0" fontId="3" fillId="0" borderId="0" xfId="2" applyNumberFormat="1"/>
    <xf numFmtId="0" fontId="2" fillId="4" borderId="2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</cellXfs>
  <cellStyles count="5">
    <cellStyle name="Calculation" xfId="3" builtinId="22"/>
    <cellStyle name="Hyperlink" xfId="2" builtinId="8"/>
    <cellStyle name="Input" xfId="1" builtinId="20"/>
    <cellStyle name="Linked Cell" xfId="4" builtinId="24"/>
    <cellStyle name="Normal" xfId="0" builtinId="0"/>
  </cellStyles>
  <dxfs count="31"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border outline="0">
        <left style="thin">
          <color rgb="FF7F7F7F"/>
        </left>
      </border>
    </dxf>
    <dxf>
      <numFmt numFmtId="19" formatCode="m/d/yyyy"/>
      <border outline="0">
        <left style="thin">
          <color rgb="FF7F7F7F"/>
        </left>
      </border>
    </dxf>
    <dxf>
      <numFmt numFmtId="19" formatCode="m/d/yyyy"/>
      <border outline="0">
        <right style="thin">
          <color rgb="FF7F7F7F"/>
        </right>
      </border>
    </dxf>
    <dxf>
      <border outline="0">
        <right style="thin">
          <color rgb="FF7F7F7F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m/d/yyyy"/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0" tint="-0.249977111117893"/>
        </top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border outline="0"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theme="0" tint="-0.249977111117893"/>
        </top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E18A1DB-C555-40CB-A21F-A728DE82669B}" name="AreasTable_Template" displayName="AreasTable_Template" ref="E3:K4" totalsRowShown="0">
  <autoFilter ref="E3:K4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3FEC12E2-2D5C-4016-B2ED-CDFF0C8BDF00}" name="MID" dataCellStyle="Input"/>
    <tableColumn id="2" xr3:uid="{CCBE6DD3-F6D7-4047-BFFF-A55C39114383}" name="Area">
      <calculatedColumnFormula>IF(Measurements_Lookup(AreasTable_Template[[#This Row],[MID]],AreasTable_Template[[#Headers],[Area]])="", "", Measurements_Lookup(AreasTable_Template[[#This Row],[MID]],AreasTable_Template[[#Headers],[Area]]))</calculatedColumnFormula>
    </tableColumn>
    <tableColumn id="3" xr3:uid="{A3F243D1-75B1-4890-BF60-7FCDE1BEB88A}" name="Description">
      <calculatedColumnFormula>IF(Measurements_Lookup(AreasTable_Template[[#This Row],[MID]],AreasTable_Template[[#Headers],[Description]])="", "", Measurements_Lookup(AreasTable_Template[[#This Row],[MID]],AreasTable_Template[[#Headers],[Description]]))</calculatedColumnFormula>
    </tableColumn>
    <tableColumn id="4" xr3:uid="{FD07EE07-EDEE-4396-9033-F53AD77BC4A3}" name="Start Date" dataCellStyle="Input"/>
    <tableColumn id="5" xr3:uid="{D25B38CF-AD49-402A-971D-F2CE80308E4B}" name="Finish Date" dataCellStyle="Input"/>
    <tableColumn id="6" xr3:uid="{44ABE4DF-A59E-48E2-9424-F4368F19D2E8}" name="Total">
      <calculatedColumnFormula>IF(Measurements_Lookup(AreasTable_Template[[#This Row],[MID]],AreasTable_Template[[#Headers],[Total]])="", "", Measurements_Lookup(AreasTable_Template[[#This Row],[MID]],AreasTable_Template[[#Headers],[Total]]))</calculatedColumnFormula>
    </tableColumn>
    <tableColumn id="7" xr3:uid="{D059C0B2-EFDD-4E22-8B67-B390908BE233}" name="Completed Total">
      <calculatedColumnFormula>IF(Measurements_Lookup(AreasTable_Template[[#This Row],[MID]],AreasTable_Template[[#Headers],[Completed Total]])="", "", Measurements_Lookup(AreasTable_Template[[#This Row],[MID]],AreasTable_Template[[#Headers],[Completed Total]]))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066101-CFD1-477F-8A3B-D1086118A514}" name="ExportTable_Template" displayName="ExportTable_Template" ref="M3:M4" insertRow="1" totalsRowShown="0">
  <autoFilter ref="M3:M4" xr:uid="{E91115CA-0BA6-4ECC-AF7F-36F1B519716B}"/>
  <tableColumns count="1">
    <tableColumn id="1" xr3:uid="{F5EE036D-4407-43D5-972D-590B648A9D16}" name="Column1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7159A8-B8ED-4670-8894-36754922492E}" name="CountTable" displayName="CountTable" ref="B2:J3" totalsRowShown="0">
  <autoFilter ref="B2:J3" xr:uid="{B42C1189-C8DA-494A-B32D-54407D2511B0}"/>
  <tableColumns count="9">
    <tableColumn id="1" xr3:uid="{C6719D8A-EEC9-4198-AB18-CB05C17FBF68}" name="Label" dataCellStyle="Linked Cell"/>
    <tableColumn id="2" xr3:uid="{D21F6202-305F-4CA4-9550-7C3E541CAACB}" name="Area" dataCellStyle="Input"/>
    <tableColumn id="3" xr3:uid="{A6CC5316-775C-4A16-AE7B-1DD6EBCA82D2}" name="Description" dataCellStyle="Input"/>
    <tableColumn id="4" xr3:uid="{DE5E6991-75AE-41DE-9507-1C9F8D8DB975}" name="Total" dataCellStyle="Linked Cell"/>
    <tableColumn id="5" xr3:uid="{B23B68F2-F309-4A4D-B1CB-A6A7686BA761}" name="Completed Total"/>
    <tableColumn id="6" xr3:uid="{51BE4835-DB9C-4A7C-B63B-5A2731176B44}" name="Status Complete" dataCellStyle="Linked Cell"/>
    <tableColumn id="7" xr3:uid="{DED99F8F-31DA-4D4F-8028-665AE6C38B07}" name="Status 25 Percent" dataCellStyle="Linked Cell"/>
    <tableColumn id="8" xr3:uid="{F5D3423F-FCB3-4F22-B65D-7E7A9C8007A9}" name="Status 50 Percent" dataCellStyle="Linked Cell"/>
    <tableColumn id="9" xr3:uid="{7DA3505E-BCB1-4C40-A8F5-114685503E2F}" name="Status 75 Percent" dataCellStyle="Linked Cel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5DB84FB-0778-4EB3-B510-ED6B93A043AE}" name="LengthTable" displayName="LengthTable" ref="B2:J3" totalsRowShown="0">
  <autoFilter ref="B2:J3" xr:uid="{B42C1189-C8DA-494A-B32D-54407D2511B0}"/>
  <tableColumns count="9">
    <tableColumn id="1" xr3:uid="{347ADCA4-A4A7-43F8-90A8-E42B75F987B4}" name="Label" dataCellStyle="Linked Cell"/>
    <tableColumn id="2" xr3:uid="{8621162D-B68D-442A-B600-D7C715BFC3FF}" name="Area" dataCellStyle="Input"/>
    <tableColumn id="3" xr3:uid="{09358988-1619-4787-85F5-528D88F81FA9}" name="Description" dataCellStyle="Input"/>
    <tableColumn id="4" xr3:uid="{9C37FED6-95B1-4A1D-AAD3-5F4D4BE5A753}" name="Total" dataCellStyle="Linked Cell"/>
    <tableColumn id="5" xr3:uid="{222F7D82-EB9A-477E-A9B2-A7890182BFB0}" name="Completed Total"/>
    <tableColumn id="6" xr3:uid="{C682F5E9-1E3B-4C37-9FEB-17B1256D3140}" name="Status Complete" dataCellStyle="Linked Cell"/>
    <tableColumn id="7" xr3:uid="{4471D831-F2D0-4199-8E8E-A9FC7778243B}" name="Status 25 Percent" dataCellStyle="Linked Cell"/>
    <tableColumn id="8" xr3:uid="{31448DB9-F772-46F4-AFD8-1F524AE63EAB}" name="Status 50 Percent" dataCellStyle="Linked Cell"/>
    <tableColumn id="9" xr3:uid="{55778722-B8AF-43CA-AF0F-96169678604D}" name="Status 75 Percent" dataCellStyle="Linked Cel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B1DA764-E40A-475C-89A8-19D218A4FFF8}" name="Wall_AreaTable" displayName="Wall_AreaTable" ref="B2:J3" totalsRowShown="0">
  <autoFilter ref="B2:J3" xr:uid="{B42C1189-C8DA-494A-B32D-54407D2511B0}"/>
  <tableColumns count="9">
    <tableColumn id="1" xr3:uid="{29D3CE24-00F5-471A-92D8-F1F3704E4C6B}" name="Label" dataCellStyle="Linked Cell"/>
    <tableColumn id="2" xr3:uid="{6BFB82FE-38B1-4E09-9DAC-AC8ED5B90072}" name="Area" dataCellStyle="Input"/>
    <tableColumn id="3" xr3:uid="{830E0FBA-1648-4D67-A881-AECD9AEA3144}" name="Description" dataCellStyle="Input"/>
    <tableColumn id="4" xr3:uid="{0112396F-4ECD-4FC1-A037-AC9CF9123B1F}" name="Total" dataCellStyle="Linked Cell"/>
    <tableColumn id="5" xr3:uid="{C2370FF5-97F5-4756-ACC6-7C7A95DFA805}" name="Completed Total"/>
    <tableColumn id="6" xr3:uid="{ABB999FF-CFC6-41CB-9882-37F8E89D3D30}" name="Status Complete" dataCellStyle="Linked Cell"/>
    <tableColumn id="7" xr3:uid="{ED90B004-0A41-4955-90D8-EBEE14538910}" name="Status 25 Percent" dataCellStyle="Linked Cell"/>
    <tableColumn id="8" xr3:uid="{53000ADD-6A18-4F3F-B348-306675C53DD2}" name="Status 50 Percent" dataCellStyle="Linked Cell"/>
    <tableColumn id="9" xr3:uid="{7C2BF188-F15D-43EA-B8F5-097AEACB7B21}" name="Status 75 Percent" dataCellStyle="Linked Cel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7384A6B-CDDA-4DEF-A797-F2D63D9557AB}" name="AreaTable" displayName="AreaTable" ref="B2:J3" totalsRowShown="0">
  <autoFilter ref="B2:J3" xr:uid="{B42C1189-C8DA-494A-B32D-54407D2511B0}"/>
  <tableColumns count="9">
    <tableColumn id="1" xr3:uid="{6EA08934-E6BD-4959-8BD8-3128CFA192C9}" name="Label" dataCellStyle="Linked Cell"/>
    <tableColumn id="2" xr3:uid="{BA06129D-19B9-4D45-ABFE-40B2859857B1}" name="Area" dataCellStyle="Input"/>
    <tableColumn id="3" xr3:uid="{092961D2-D6E5-4BBD-96A2-566036103753}" name="Description" dataCellStyle="Input"/>
    <tableColumn id="4" xr3:uid="{E9E1B760-EE91-4DF1-BBF6-75A5F9AABD97}" name="Total" dataCellStyle="Linked Cell"/>
    <tableColumn id="5" xr3:uid="{65B9760E-77C9-4134-A4DE-E91B4A665D34}" name="Completed Total"/>
    <tableColumn id="6" xr3:uid="{13C515CC-BD5C-46F7-806F-7A33BACB0E26}" name="Status Complete" dataCellStyle="Linked Cell"/>
    <tableColumn id="7" xr3:uid="{A8F604A1-C219-4452-ACA5-AF22A7DEB31A}" name="Status 25 Percent" dataCellStyle="Linked Cell"/>
    <tableColumn id="8" xr3:uid="{A16C5E48-D737-40C2-9EE7-4DC3FF602756}" name="Status 50 Percent" dataCellStyle="Linked Cell"/>
    <tableColumn id="9" xr3:uid="{2430C8E9-1C8A-4C7E-84F0-186B1C4AB40A}" name="Status 75 Percent" dataCellStyle="Linked Cel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92B004C-F6D8-4BEB-BC78-80B1E422B7F6}" name="VolumeTable" displayName="VolumeTable" ref="B2:J3" totalsRowShown="0">
  <autoFilter ref="B2:J3" xr:uid="{B42C1189-C8DA-494A-B32D-54407D2511B0}"/>
  <tableColumns count="9">
    <tableColumn id="1" xr3:uid="{FA6D8BCE-35AF-49CA-A95C-647F1E8B47AC}" name="Label" dataCellStyle="Linked Cell"/>
    <tableColumn id="2" xr3:uid="{4D80C214-1161-4ECD-8745-B49E3F2C1C19}" name="Area" dataCellStyle="Input"/>
    <tableColumn id="3" xr3:uid="{0FFB65BA-1911-4780-A9E5-59CA42A0734B}" name="Description" dataCellStyle="Input"/>
    <tableColumn id="4" xr3:uid="{7E594623-9AFE-4DDD-B27D-C69016CA9ED1}" name="Total" dataCellStyle="Linked Cell"/>
    <tableColumn id="5" xr3:uid="{3427E25D-D068-4B97-83A1-F57889118876}" name="Completed Total"/>
    <tableColumn id="6" xr3:uid="{A72E70A5-73DC-4B02-874D-EF5B8FB501B5}" name="Status Complete" dataCellStyle="Linked Cell"/>
    <tableColumn id="7" xr3:uid="{4AAE80B7-B8F6-449A-B59A-F75C2747BD0B}" name="Status 25 Percent" dataCellStyle="Linked Cell"/>
    <tableColumn id="8" xr3:uid="{D4AA2297-DD83-4160-869E-7795D9AE8E31}" name="Status 50 Percent" dataCellStyle="Linked Cell"/>
    <tableColumn id="9" xr3:uid="{EF802648-5BA7-4437-8FEF-8B86E59A2283}" name="Status 75 Percent" dataCellStyle="Linked Cel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F296DE2-EFD7-4DB7-847E-DB0C2FCB0AC3}" name="MasonryTable" displayName="MasonryTable" ref="B2:P3" totalsRowShown="0">
  <autoFilter ref="B2:P3" xr:uid="{B42C1189-C8DA-494A-B32D-54407D2511B0}"/>
  <tableColumns count="15">
    <tableColumn id="1" xr3:uid="{440CB9F8-0A0C-43F1-BF8B-770E7DB1CC5A}" name="Label" dataCellStyle="Linked Cell"/>
    <tableColumn id="2" xr3:uid="{F29D05D9-8C05-432E-BBE4-58C6156B2DAE}" name="Area" dataCellStyle="Input"/>
    <tableColumn id="3" xr3:uid="{83CC1B80-5245-4B96-8B94-E305AF0ED663}" name="Description" dataCellStyle="Input"/>
    <tableColumn id="10" xr3:uid="{C39A062F-F1EF-4796-95D8-24DA91E1B6D4}" name="Block Multiplier" dataCellStyle="Input"/>
    <tableColumn id="4" xr3:uid="{4CC3DF74-921B-45AD-9274-041D92920416}" name="BB Total SF" dataCellStyle="Linked Cell"/>
    <tableColumn id="11" xr3:uid="{658DFA2F-EA9B-4257-B0E1-10B94226ABC7}" name="Total"/>
    <tableColumn id="5" xr3:uid="{3F6BDB99-7B3C-4036-901F-F7B4F7C01D5B}" name="Completed Total"/>
    <tableColumn id="6" xr3:uid="{0CF615EA-2901-4304-BF69-AB478CE694EF}" name="Status Complete" dataCellStyle="Linked Cell"/>
    <tableColumn id="7" xr3:uid="{EABFCC4F-9816-49B1-98F4-CBFD8ACC8612}" name="Status 4" dataCellStyle="Linked Cell"/>
    <tableColumn id="8" xr3:uid="{274008AE-D368-47CC-8999-392FF5633797}" name="Status 8" dataCellStyle="Linked Cell"/>
    <tableColumn id="9" xr3:uid="{33C445A8-855F-495B-B795-D6CCEABB6641}" name="Status 12" dataCellStyle="Linked Cell"/>
    <tableColumn id="12" xr3:uid="{01DB0407-C672-454A-8A27-14E4C481B452}" name="Status 16" dataCellStyle="Linked Cell"/>
    <tableColumn id="13" xr3:uid="{39BC644B-288B-4FF6-8D00-E37A81F25D15}" name="Status 20" dataCellStyle="Linked Cell"/>
    <tableColumn id="14" xr3:uid="{3104F2D0-67FE-44D1-ABB1-3C8FF5BA335C}" name="Status 24" dataCellStyle="Linked Cell"/>
    <tableColumn id="15" xr3:uid="{E24815F4-7916-42E2-92BC-51D4577E5388}" name="Status 28" dataCellStyle="Linked Cel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9EF1B7-D63D-42CC-82E1-D02E26901D99}" name="Holidays_Table" displayName="Holidays_Table" ref="E3:E29" totalsRowShown="0">
  <autoFilter ref="E3:E29" xr:uid="{9E5CA91D-2E0C-42D3-90A8-14527BA94903}"/>
  <tableColumns count="1">
    <tableColumn id="1" xr3:uid="{0A735B84-78F7-4DB5-8997-392D6DDC6E50}" name="Date" dataDxfId="30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0C34DDF-7AA8-4476-B894-B2B88FED171E}" name="MeasurementsTable" displayName="MeasurementsTable" ref="B2:B8" totalsRowShown="0" headerRowDxfId="29" dataDxfId="27" headerRowBorderDxfId="28" tableBorderDxfId="26" totalsRowBorderDxfId="25" dataCellStyle="Hyperlink">
  <autoFilter ref="B2:B8" xr:uid="{271E6750-7AAD-4717-A22E-42FE3167AC23}"/>
  <tableColumns count="1">
    <tableColumn id="1" xr3:uid="{EAEF65C8-5A0D-4A2C-8773-2609BF0E3DBA}" name="Measurements" dataDxfId="24" dataCellStyle="Hyperlink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482F428-136A-4324-9C8C-4493D1286E72}" name="TradesTable" displayName="TradesTable" ref="D2:F5" totalsRowShown="0" headerRowDxfId="23" dataDxfId="21" headerRowBorderDxfId="22" tableBorderDxfId="20" totalsRowBorderDxfId="19">
  <autoFilter ref="D2:F5" xr:uid="{D00C40E4-B4A8-4635-A28F-2E70A0E0178A}"/>
  <tableColumns count="3">
    <tableColumn id="1" xr3:uid="{FAE95E1F-8E91-4A91-813A-E1DFF07DA1B3}" name="Trade ID" dataDxfId="18" dataCellStyle="Hyperlink"/>
    <tableColumn id="3" xr3:uid="{6CEB8600-7C9F-45FD-A101-72A894BD3229}" name="Trade Name" dataDxfId="17" dataCellStyle="Hyperlink">
      <calculatedColumnFormula>HYPERLINK("#"&amp;TradesTable[[#This Row],[Trade ID]]&amp;"!A1", INDIRECT("'"&amp;TradesTable[[#This Row],[Trade ID]]&amp;"'!C3"))</calculatedColumnFormula>
    </tableColumn>
    <tableColumn id="2" xr3:uid="{BA339C45-E5A0-424F-A303-67A2C317842A}" name="Last Update" dataDxfId="16" dataCellStyle="Hyperlink">
      <calculatedColumnFormula>INDIRECT("'"&amp;TradesTable[[#This Row],[Trade ID]]&amp;"'!C5")</calculatedColumnFormula>
    </tableColumn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12CCF7D-0264-433E-BDF0-42E1B6527D50}" name="AreasTable_0000" displayName="AreasTable_0000" ref="E3:Q7" totalsRowShown="0">
  <autoFilter ref="E3:Q7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8F00047E-2A18-40A4-9A29-28902EECCBED}" name="Date" dataCellStyle="Input"/>
    <tableColumn id="2" xr3:uid="{BB00B853-47CF-40ED-AE35-4F5A2854B1CA}" name="Area"/>
    <tableColumn id="3" xr3:uid="{490E3BA8-7604-44EB-BDF1-788066748CDF}" name="Description" dataDxfId="15"/>
    <tableColumn id="4" xr3:uid="{58B1617C-7EDF-4588-966B-AD66BA5394D9}" name="Start Date" dataDxfId="14" dataCellStyle="Input"/>
    <tableColumn id="5" xr3:uid="{08794624-E9E5-4B36-8E3C-18896280D293}" name="Finish Date" dataDxfId="13" dataCellStyle="Input"/>
    <tableColumn id="6" xr3:uid="{29B7F529-D77E-4A0E-916A-2E4180623B62}" name="Total" dataDxfId="12"/>
    <tableColumn id="7" xr3:uid="{57288758-C00A-4F5D-9DA6-28458225DED8}" name="Completed Total"/>
    <tableColumn id="8" xr3:uid="{9E1B38AC-7205-46CE-BBB5-BDD89E1B42C0}" name="PlanTotal_C2"/>
    <tableColumn id="9" xr3:uid="{82BB65DA-5A22-4A77-B95F-62FDE436D0D4}" name="CompTotal_C2"/>
    <tableColumn id="10" xr3:uid="{9083F923-1463-4E67-9DA6-A3BF487B046C}" name="PlanTotal_C3"/>
    <tableColumn id="11" xr3:uid="{9AC1895B-4145-490E-B8A5-758938CFE0F5}" name="CompTotal_C3"/>
    <tableColumn id="12" xr3:uid="{402734A7-87D6-40E9-BF93-DA0B967ACFC0}" name="PlanTotal_C4"/>
    <tableColumn id="13" xr3:uid="{B24A99C1-8069-4620-9D1C-3ED4C8925B82}" name="CompTotal_C4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24428BD-A794-48F3-8BDC-CFF726ABF7C9}" name="ExportTable_0000" displayName="ExportTable_0000" ref="S3:S4" insertRow="1" totalsRowShown="0">
  <autoFilter ref="S3:S4" xr:uid="{E91115CA-0BA6-4ECC-AF7F-36F1B519716B}"/>
  <tableColumns count="1">
    <tableColumn id="1" xr3:uid="{66A04C66-C546-48FB-A3E8-DD6DE44AD643}" name="Column1"/>
  </tableColumns>
  <tableStyleInfo name="TableStyleLight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ECE4E71-7AB4-463C-9C78-AF91B60ECE26}" name="AreasTable_0001" displayName="AreasTable_0001" ref="E3:K7" totalsRowShown="0">
  <autoFilter ref="E3:K7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EDEFB9B3-808C-4982-ABA5-2D7DC5E1AFB0}" name="MID" dataCellStyle="Input"/>
    <tableColumn id="2" xr3:uid="{9E283189-49D8-47E5-B499-9FB72003C568}" name="Area"/>
    <tableColumn id="3" xr3:uid="{E15FE75C-9717-4EBA-8D8B-8604DE2A419B}" name="Description"/>
    <tableColumn id="4" xr3:uid="{36B030C5-4F54-4BF8-AE0A-B3B973562763}" name="Start Date" dataDxfId="11" dataCellStyle="Input"/>
    <tableColumn id="5" xr3:uid="{5AE6735C-AC69-41A4-AA23-3EB26F91EF37}" name="Finish Date" dataDxfId="10" dataCellStyle="Input"/>
    <tableColumn id="6" xr3:uid="{1DA8FB03-1A49-4F1F-A181-2AC9C96AB088}" name="Total"/>
    <tableColumn id="7" xr3:uid="{2F9BAE56-3C7C-40D9-872F-F9EE40085211}" name="Completed Total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DF86023-49FF-462F-95AA-BEF775C58CEF}" name="ExportTable_0001" displayName="ExportTable_0001" ref="M3:U4" insertRow="1" totalsRowShown="0">
  <autoFilter ref="M3:U4" xr:uid="{E91115CA-0BA6-4ECC-AF7F-36F1B519716B}"/>
  <tableColumns count="9">
    <tableColumn id="1" xr3:uid="{F08CC69B-246C-4FE4-8864-8B8FE2EDDADC}" name="Date"/>
    <tableColumn id="8" xr3:uid="{7B7E8D43-5624-4253-82FE-2DEFFAC75E58}" name="PlanTotal_C1"/>
    <tableColumn id="9" xr3:uid="{421F15F2-9D04-4552-8971-14B5092497C3}" name="CompTotal_C1"/>
    <tableColumn id="10" xr3:uid="{A0ABD9A3-1B84-486D-9559-98234672D6C8}" name="PlanTotal_C2"/>
    <tableColumn id="11" xr3:uid="{B005A959-0A0D-4E6E-AAEC-872C5ED4F2D8}" name="CompTotal_C2"/>
    <tableColumn id="12" xr3:uid="{21D81AC4-1FC1-461B-94F0-878B1BD316A3}" name="PlanTotal_C3"/>
    <tableColumn id="13" xr3:uid="{BCEC3EC5-E7A5-480A-93A6-6E5B5D4AB0EA}" name="CompTotal_C3"/>
    <tableColumn id="14" xr3:uid="{2119C6C5-CD75-47AE-AFA6-4C17C8011190}" name="PlanTotal_C4"/>
    <tableColumn id="15" xr3:uid="{0F3A52BA-770F-4886-A4C0-5567E70A7FD1}" name="CompTotal_C4"/>
  </tableColumns>
  <tableStyleInfo name="TableStyleLight4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A4D9F63-68A2-4E3E-A259-B9E62B6E9704}" name="AreasTable_0002" displayName="AreasTable_0002" ref="E3:K7" totalsRowShown="0">
  <autoFilter ref="E3:K7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FBF62A3A-C522-4677-B87C-B0E6688150C6}" name="MID" dataCellStyle="Input"/>
    <tableColumn id="2" xr3:uid="{7C07260B-D48F-4218-9793-715118837853}" name="Area"/>
    <tableColumn id="3" xr3:uid="{80C7E420-BF6A-4906-BEDD-CAA7D1783033}" name="Description"/>
    <tableColumn id="4" xr3:uid="{71757A06-ADA6-4CA4-9AC2-257059C33358}" name="Start Date" dataDxfId="9" dataCellStyle="Input"/>
    <tableColumn id="5" xr3:uid="{35BBC976-BC9E-4BED-ADF0-A754DB7EA3D0}" name="Finish Date" dataDxfId="8" dataCellStyle="Input"/>
    <tableColumn id="6" xr3:uid="{D3CDFF3C-18D8-4029-BBC9-E210EDDFC460}" name="Total"/>
    <tableColumn id="7" xr3:uid="{08638058-C75D-494A-B4B6-8F4F79065BB1}" name="Completed Total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4562C81-461C-488D-8843-5459BC5156DE}" name="ExportTable_0002" displayName="ExportTable_0002" ref="M3:U80" totalsRowShown="0">
  <autoFilter ref="M3:U80" xr:uid="{E91115CA-0BA6-4ECC-AF7F-36F1B519716B}"/>
  <tableColumns count="9">
    <tableColumn id="1" xr3:uid="{EB8E9547-0D16-4642-A3F0-290D96681166}" name="Date"/>
    <tableColumn id="52" xr3:uid="{05A047F7-753A-498B-92C1-0FEB10AD689F}" name="PlanTotal_C1" dataDxfId="7"/>
    <tableColumn id="53" xr3:uid="{ECB8E043-C86E-4A71-ABAE-2E59510DD379}" name="CompTotal_C1" dataDxfId="6"/>
    <tableColumn id="54" xr3:uid="{63CEC654-204B-49ED-860D-1D0D4F314515}" name="PlanTotal_C2" dataDxfId="5"/>
    <tableColumn id="55" xr3:uid="{3A2A10EA-17EA-473A-96A8-6E77FFB439C5}" name="CompTotal_C2" dataDxfId="4"/>
    <tableColumn id="56" xr3:uid="{BB849AC0-7B78-45F9-8ACD-EDE75AF8D0F5}" name="PlanTotal_C3" dataDxfId="3"/>
    <tableColumn id="57" xr3:uid="{905DD493-5AF9-4E5D-8FC2-C194797A4EFF}" name="CompTotal_C3" dataDxfId="2"/>
    <tableColumn id="58" xr3:uid="{F868616A-3322-4FA1-8332-D85E632B8125}" name="PlanTotal_C4" dataDxfId="1"/>
    <tableColumn id="59" xr3:uid="{47960BBA-36AB-42D9-BD65-A2A8765D03A5}" name="CompTotal_C4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96465-4F8E-4664-AB3E-66BD3F2DA410}">
  <sheetPr codeName="Sheet4">
    <tabColor theme="5" tint="0.79998168889431442"/>
  </sheetPr>
  <dimension ref="B1:R18"/>
  <sheetViews>
    <sheetView workbookViewId="0">
      <selection activeCell="F17" sqref="F17"/>
    </sheetView>
  </sheetViews>
  <sheetFormatPr defaultRowHeight="15" x14ac:dyDescent="0.25"/>
  <cols>
    <col min="1" max="1" width="2.85546875" customWidth="1"/>
    <col min="2" max="2" width="17.85546875" bestFit="1" customWidth="1"/>
    <col min="3" max="3" width="18.7109375" customWidth="1"/>
    <col min="4" max="4" width="2.85546875" customWidth="1"/>
    <col min="5" max="5" width="9.28515625" customWidth="1"/>
    <col min="6" max="6" width="11.28515625" customWidth="1"/>
    <col min="7" max="7" width="22.5703125" customWidth="1"/>
    <col min="8" max="8" width="11.85546875" customWidth="1"/>
    <col min="9" max="9" width="12" customWidth="1"/>
    <col min="10" max="10" width="14.28515625" customWidth="1"/>
    <col min="11" max="11" width="16.7109375" customWidth="1"/>
    <col min="12" max="12" width="2.85546875" customWidth="1"/>
    <col min="13" max="13" width="11" customWidth="1"/>
  </cols>
  <sheetData>
    <row r="1" spans="2:18" x14ac:dyDescent="0.25">
      <c r="B1" s="18" t="str">
        <f>HYPERLINK("#Index!A1", "Back to Index")</f>
        <v>Back to Index</v>
      </c>
    </row>
    <row r="2" spans="2:18" ht="18.75" x14ac:dyDescent="0.25">
      <c r="B2" s="28" t="s">
        <v>28</v>
      </c>
      <c r="C2" s="28"/>
      <c r="E2" s="29" t="s">
        <v>27</v>
      </c>
      <c r="F2" s="30"/>
      <c r="G2" s="30"/>
      <c r="H2" s="30"/>
      <c r="I2" s="30"/>
      <c r="J2" s="30"/>
      <c r="K2" s="31"/>
      <c r="M2" s="32" t="s">
        <v>25</v>
      </c>
      <c r="N2" s="33"/>
      <c r="O2" s="33"/>
      <c r="P2" s="33"/>
      <c r="Q2" s="33"/>
      <c r="R2" s="33"/>
    </row>
    <row r="3" spans="2:18" x14ac:dyDescent="0.25">
      <c r="B3" t="s">
        <v>30</v>
      </c>
      <c r="C3" s="10" t="s">
        <v>39</v>
      </c>
      <c r="E3" s="5" t="s">
        <v>41</v>
      </c>
      <c r="F3" s="6" t="s">
        <v>22</v>
      </c>
      <c r="G3" s="6" t="s">
        <v>19</v>
      </c>
      <c r="H3" s="6" t="s">
        <v>20</v>
      </c>
      <c r="I3" s="6" t="s">
        <v>21</v>
      </c>
      <c r="J3" s="6" t="s">
        <v>23</v>
      </c>
      <c r="K3" s="7" t="s">
        <v>24</v>
      </c>
      <c r="M3" t="s">
        <v>26</v>
      </c>
    </row>
    <row r="4" spans="2:18" x14ac:dyDescent="0.25">
      <c r="B4" t="s">
        <v>29</v>
      </c>
      <c r="C4" s="10" t="s">
        <v>40</v>
      </c>
      <c r="E4" s="10"/>
      <c r="F4" s="8" t="str">
        <f ca="1">IF(Measurements_Lookup(AreasTable_Template[[#This Row],[MID]],AreasTable_Template[[#Headers],[Area]])="", "", Measurements_Lookup(AreasTable_Template[[#This Row],[MID]],AreasTable_Template[[#Headers],[Area]]))</f>
        <v/>
      </c>
      <c r="G4" s="8" t="str">
        <f ca="1">IF(Measurements_Lookup(AreasTable_Template[[#This Row],[MID]],AreasTable_Template[[#Headers],[Description]])="", "", Measurements_Lookup(AreasTable_Template[[#This Row],[MID]],AreasTable_Template[[#Headers],[Description]]))</f>
        <v/>
      </c>
      <c r="H4" s="10"/>
      <c r="I4" s="10"/>
      <c r="J4" s="8" t="str">
        <f ca="1">IF(Measurements_Lookup(AreasTable_Template[[#This Row],[MID]],AreasTable_Template[[#Headers],[Total]])="", "", Measurements_Lookup(AreasTable_Template[[#This Row],[MID]],AreasTable_Template[[#Headers],[Total]]))</f>
        <v/>
      </c>
      <c r="K4" s="9" t="str">
        <f ca="1">IF(Measurements_Lookup(AreasTable_Template[[#This Row],[MID]],AreasTable_Template[[#Headers],[Completed Total]])="", "", Measurements_Lookup(AreasTable_Template[[#This Row],[MID]],AreasTable_Template[[#Headers],[Completed Total]]))</f>
        <v/>
      </c>
    </row>
    <row r="5" spans="2:18" x14ac:dyDescent="0.25">
      <c r="B5" t="s">
        <v>32</v>
      </c>
      <c r="C5" s="14"/>
    </row>
    <row r="6" spans="2:18" x14ac:dyDescent="0.25">
      <c r="B6" t="s">
        <v>45</v>
      </c>
      <c r="C6" s="10"/>
    </row>
    <row r="10" spans="2:18" x14ac:dyDescent="0.25">
      <c r="B10" s="28" t="s">
        <v>18</v>
      </c>
      <c r="C10" s="28"/>
    </row>
    <row r="11" spans="2:18" x14ac:dyDescent="0.25">
      <c r="B11" s="1" t="s">
        <v>8</v>
      </c>
      <c r="C11" s="2" t="str">
        <f>Works_Sunday</f>
        <v>NO</v>
      </c>
    </row>
    <row r="12" spans="2:18" x14ac:dyDescent="0.25">
      <c r="B12" s="1" t="s">
        <v>9</v>
      </c>
      <c r="C12" s="2" t="str">
        <f>Works_Monday</f>
        <v>YES</v>
      </c>
    </row>
    <row r="13" spans="2:18" x14ac:dyDescent="0.25">
      <c r="B13" s="1" t="s">
        <v>10</v>
      </c>
      <c r="C13" s="2" t="str">
        <f>Works_Tuesday</f>
        <v>YES</v>
      </c>
    </row>
    <row r="14" spans="2:18" x14ac:dyDescent="0.25">
      <c r="B14" s="1" t="s">
        <v>11</v>
      </c>
      <c r="C14" s="2" t="str">
        <f>Works_Wednesday</f>
        <v>YES</v>
      </c>
    </row>
    <row r="15" spans="2:18" x14ac:dyDescent="0.25">
      <c r="B15" s="1" t="s">
        <v>12</v>
      </c>
      <c r="C15" s="2" t="str">
        <f>Works_Thrusday</f>
        <v>YES</v>
      </c>
    </row>
    <row r="16" spans="2:18" x14ac:dyDescent="0.25">
      <c r="B16" s="1" t="s">
        <v>13</v>
      </c>
      <c r="C16" s="2" t="str">
        <f>Works_Friday</f>
        <v>YES</v>
      </c>
    </row>
    <row r="17" spans="2:3" x14ac:dyDescent="0.25">
      <c r="B17" s="1" t="s">
        <v>14</v>
      </c>
      <c r="C17" s="2" t="str">
        <f>Works_Saturday</f>
        <v>NO</v>
      </c>
    </row>
    <row r="18" spans="2:3" x14ac:dyDescent="0.25">
      <c r="B18" s="1" t="s">
        <v>17</v>
      </c>
      <c r="C18" s="13">
        <f>Schedule_Run_Date</f>
        <v>43466</v>
      </c>
    </row>
  </sheetData>
  <mergeCells count="4">
    <mergeCell ref="B10:C10"/>
    <mergeCell ref="E2:K2"/>
    <mergeCell ref="M2:R2"/>
    <mergeCell ref="B2:C2"/>
  </mergeCells>
  <dataValidations disablePrompts="1" count="2">
    <dataValidation type="list" showInputMessage="1" showErrorMessage="1" sqref="C11:C17" xr:uid="{3FB713E3-B42F-46D6-93A7-AE0BFEF23953}">
      <formula1>"NO,YES"</formula1>
    </dataValidation>
    <dataValidation type="date" operator="greaterThan" allowBlank="1" showInputMessage="1" showErrorMessage="1" sqref="C18" xr:uid="{7FDD3159-F6D3-4B61-9D1A-C97CBCFAF139}">
      <formula1>1</formula1>
    </dataValidation>
  </dataValidation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4CE68-150D-4C5B-8E7A-132A66F7D427}">
  <sheetPr codeName="Sheet5">
    <tabColor theme="0" tint="-0.249977111117893"/>
  </sheetPr>
  <dimension ref="B1:J4"/>
  <sheetViews>
    <sheetView workbookViewId="0">
      <selection activeCell="F14" sqref="F14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4.8554687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0" t="str">
        <f ca="1">MID(CELL("filename",A1),FIND("]",CELL("filename",A1))+1,256)</f>
        <v>Count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1"/>
      <c r="C3" s="10"/>
      <c r="D3" s="10"/>
      <c r="E3" s="21"/>
      <c r="G3" s="21"/>
      <c r="H3" s="21"/>
      <c r="I3" s="21"/>
      <c r="J3" s="21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A43CF-57AB-4233-B365-73E8C56C0B0F}">
  <sheetPr codeName="Sheet12">
    <tabColor theme="0" tint="-0.249977111117893"/>
  </sheetPr>
  <dimension ref="B1:J4"/>
  <sheetViews>
    <sheetView workbookViewId="0">
      <selection activeCell="E3" sqref="E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0" t="str">
        <f ca="1">MID(CELL("filename",A1),FIND("]",CELL("filename",A1))+1,256)</f>
        <v>Length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1"/>
      <c r="C3" s="10"/>
      <c r="D3" s="10"/>
      <c r="E3" s="21"/>
      <c r="G3" s="21"/>
      <c r="H3" s="21"/>
      <c r="I3" s="21"/>
      <c r="J3" s="21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662BA-2DF2-4D7C-91AC-93D8EA7A460F}">
  <sheetPr codeName="Sheet13">
    <tabColor theme="0" tint="-0.249977111117893"/>
  </sheetPr>
  <dimension ref="B1:J4"/>
  <sheetViews>
    <sheetView workbookViewId="0">
      <selection activeCell="F3" sqref="F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0" t="str">
        <f ca="1">MID(CELL("filename",A1),FIND("]",CELL("filename",A1))+1,256)</f>
        <v>Wall Area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1"/>
      <c r="C3" s="10"/>
      <c r="D3" s="10"/>
      <c r="E3" s="21"/>
      <c r="G3" s="21"/>
      <c r="H3" s="21"/>
      <c r="I3" s="21"/>
      <c r="J3" s="21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FEFFF-25C9-4DA6-A511-467168052D01}">
  <sheetPr codeName="Sheet14">
    <tabColor theme="0" tint="-0.249977111117893"/>
  </sheetPr>
  <dimension ref="B1:J4"/>
  <sheetViews>
    <sheetView workbookViewId="0">
      <selection activeCell="E3" sqref="E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0" t="str">
        <f ca="1">MID(CELL("filename",A1),FIND("]",CELL("filename",A1))+1,256)</f>
        <v>Area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1"/>
      <c r="C3" s="10"/>
      <c r="D3" s="10"/>
      <c r="E3" s="21"/>
      <c r="G3" s="21"/>
      <c r="H3" s="21"/>
      <c r="I3" s="21"/>
      <c r="J3" s="21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6009B-925E-45C9-AAFA-6483F5E27F8B}">
  <sheetPr codeName="Sheet15">
    <tabColor theme="0" tint="-0.249977111117893"/>
  </sheetPr>
  <dimension ref="B1:J4"/>
  <sheetViews>
    <sheetView workbookViewId="0">
      <selection activeCell="E3" sqref="E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0" t="str">
        <f ca="1">MID(CELL("filename",A1),FIND("]",CELL("filename",A1))+1,256)</f>
        <v>Volume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1"/>
      <c r="C3" s="10"/>
      <c r="D3" s="10"/>
      <c r="E3" s="21"/>
      <c r="G3" s="21"/>
      <c r="H3" s="21"/>
      <c r="I3" s="21"/>
      <c r="J3" s="21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C5AD5-7057-4EA0-9EB3-16A96705973B}">
  <sheetPr codeName="Sheet16">
    <tabColor theme="0" tint="-0.249977111117893"/>
  </sheetPr>
  <dimension ref="B1:P4"/>
  <sheetViews>
    <sheetView workbookViewId="0">
      <selection activeCell="G21" sqref="G21"/>
    </sheetView>
  </sheetViews>
  <sheetFormatPr defaultRowHeight="15" x14ac:dyDescent="0.25"/>
  <cols>
    <col min="1" max="1" width="2.85546875" customWidth="1"/>
    <col min="2" max="2" width="10.7109375" bestFit="1" customWidth="1"/>
    <col min="3" max="3" width="14.42578125" customWidth="1"/>
    <col min="4" max="4" width="13.42578125" bestFit="1" customWidth="1"/>
    <col min="5" max="5" width="17.5703125" bestFit="1" customWidth="1"/>
    <col min="6" max="6" width="18.140625" bestFit="1" customWidth="1"/>
    <col min="7" max="7" width="18" bestFit="1" customWidth="1"/>
    <col min="8" max="8" width="18.5703125" bestFit="1" customWidth="1"/>
    <col min="9" max="9" width="20.85546875" customWidth="1"/>
    <col min="10" max="11" width="10.140625" bestFit="1" customWidth="1"/>
    <col min="12" max="16" width="11.140625" bestFit="1" customWidth="1"/>
  </cols>
  <sheetData>
    <row r="1" spans="2:16" ht="36" x14ac:dyDescent="0.55000000000000004">
      <c r="B1" s="20" t="str">
        <f ca="1">MID(CELL("filename",A1),FIND("]",CELL("filename",A1))+1,256)</f>
        <v>Masonry</v>
      </c>
    </row>
    <row r="2" spans="2:16" x14ac:dyDescent="0.25">
      <c r="B2" t="s">
        <v>59</v>
      </c>
      <c r="C2" t="s">
        <v>22</v>
      </c>
      <c r="D2" t="s">
        <v>19</v>
      </c>
      <c r="E2" t="s">
        <v>50</v>
      </c>
      <c r="F2" t="s">
        <v>53</v>
      </c>
      <c r="G2" t="s">
        <v>23</v>
      </c>
      <c r="H2" t="s">
        <v>24</v>
      </c>
      <c r="I2" t="s">
        <v>46</v>
      </c>
      <c r="J2" t="s">
        <v>51</v>
      </c>
      <c r="K2" t="s">
        <v>52</v>
      </c>
      <c r="L2" t="s">
        <v>54</v>
      </c>
      <c r="M2" t="s">
        <v>55</v>
      </c>
      <c r="N2" t="s">
        <v>56</v>
      </c>
      <c r="O2" t="s">
        <v>57</v>
      </c>
      <c r="P2" t="s">
        <v>58</v>
      </c>
    </row>
    <row r="3" spans="2:16" ht="15.75" thickBot="1" x14ac:dyDescent="0.3">
      <c r="B3" s="21"/>
      <c r="C3" s="10"/>
      <c r="D3" s="10"/>
      <c r="E3" s="10"/>
      <c r="F3" s="21"/>
      <c r="I3" s="21"/>
      <c r="J3" s="21"/>
      <c r="K3" s="21"/>
      <c r="L3" s="21"/>
      <c r="M3" s="21"/>
      <c r="N3" s="21"/>
      <c r="O3" s="21"/>
      <c r="P3" s="21"/>
    </row>
    <row r="4" spans="2:16" ht="15.75" thickTop="1" x14ac:dyDescent="0.25"/>
  </sheetData>
  <pageMargins left="0.7" right="0.7" top="0.75" bottom="0.75" header="0.3" footer="0.3"/>
  <pageSetup orientation="portrait" horizontalDpi="0" verticalDpi="0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1D45B-BC40-4004-97AB-C1AD9D1D514A}">
  <sheetPr codeName="Sheet3">
    <tabColor theme="4" tint="0.39997558519241921"/>
  </sheetPr>
  <dimension ref="B2:E29"/>
  <sheetViews>
    <sheetView showGridLines="0" workbookViewId="0">
      <selection activeCell="L27" sqref="L27"/>
    </sheetView>
  </sheetViews>
  <sheetFormatPr defaultRowHeight="15" x14ac:dyDescent="0.25"/>
  <cols>
    <col min="1" max="1" width="2.85546875" customWidth="1"/>
    <col min="2" max="2" width="24.28515625" bestFit="1" customWidth="1"/>
    <col min="3" max="3" width="31" customWidth="1"/>
    <col min="4" max="4" width="2.85546875" customWidth="1"/>
    <col min="5" max="5" width="23.28515625" customWidth="1"/>
  </cols>
  <sheetData>
    <row r="2" spans="2:5" ht="28.5" customHeight="1" x14ac:dyDescent="0.25">
      <c r="B2" s="34" t="s">
        <v>0</v>
      </c>
      <c r="C2" s="34"/>
      <c r="E2" s="3" t="s">
        <v>15</v>
      </c>
    </row>
    <row r="3" spans="2:5" ht="15" customHeight="1" x14ac:dyDescent="0.25">
      <c r="B3" s="1" t="s">
        <v>1</v>
      </c>
      <c r="C3" s="2"/>
      <c r="E3" t="s">
        <v>16</v>
      </c>
    </row>
    <row r="4" spans="2:5" x14ac:dyDescent="0.25">
      <c r="B4" s="1" t="s">
        <v>2</v>
      </c>
      <c r="C4" s="2"/>
      <c r="E4" s="4">
        <v>43576</v>
      </c>
    </row>
    <row r="5" spans="2:5" x14ac:dyDescent="0.25">
      <c r="B5" s="1" t="s">
        <v>3</v>
      </c>
      <c r="C5" s="2"/>
      <c r="E5" s="4">
        <v>43590</v>
      </c>
    </row>
    <row r="6" spans="2:5" x14ac:dyDescent="0.25">
      <c r="B6" s="1" t="s">
        <v>4</v>
      </c>
      <c r="C6" s="2"/>
      <c r="E6" s="4">
        <v>43612</v>
      </c>
    </row>
    <row r="7" spans="2:5" x14ac:dyDescent="0.25">
      <c r="B7" s="1" t="s">
        <v>5</v>
      </c>
      <c r="C7" s="2"/>
      <c r="E7" s="4">
        <v>43650</v>
      </c>
    </row>
    <row r="8" spans="2:5" x14ac:dyDescent="0.25">
      <c r="B8" s="1" t="s">
        <v>6</v>
      </c>
      <c r="C8" s="2"/>
      <c r="E8" s="4">
        <v>43710</v>
      </c>
    </row>
    <row r="9" spans="2:5" x14ac:dyDescent="0.25">
      <c r="E9" s="4">
        <v>43780</v>
      </c>
    </row>
    <row r="10" spans="2:5" ht="23.25" x14ac:dyDescent="0.25">
      <c r="B10" s="34" t="s">
        <v>7</v>
      </c>
      <c r="C10" s="34"/>
      <c r="E10" s="4">
        <v>43797</v>
      </c>
    </row>
    <row r="11" spans="2:5" x14ac:dyDescent="0.25">
      <c r="B11" s="1" t="s">
        <v>8</v>
      </c>
      <c r="C11" s="2" t="s">
        <v>33</v>
      </c>
      <c r="E11" s="4">
        <v>43798</v>
      </c>
    </row>
    <row r="12" spans="2:5" x14ac:dyDescent="0.25">
      <c r="B12" s="1" t="s">
        <v>9</v>
      </c>
      <c r="C12" s="2" t="s">
        <v>34</v>
      </c>
      <c r="E12" s="4">
        <v>43823</v>
      </c>
    </row>
    <row r="13" spans="2:5" x14ac:dyDescent="0.25">
      <c r="B13" s="1" t="s">
        <v>10</v>
      </c>
      <c r="C13" s="2" t="s">
        <v>34</v>
      </c>
      <c r="E13" s="4">
        <v>43824</v>
      </c>
    </row>
    <row r="14" spans="2:5" x14ac:dyDescent="0.25">
      <c r="B14" s="1" t="s">
        <v>11</v>
      </c>
      <c r="C14" s="2" t="s">
        <v>34</v>
      </c>
      <c r="E14" s="4">
        <v>43825</v>
      </c>
    </row>
    <row r="15" spans="2:5" x14ac:dyDescent="0.25">
      <c r="B15" s="1" t="s">
        <v>12</v>
      </c>
      <c r="C15" s="2" t="s">
        <v>34</v>
      </c>
      <c r="E15" s="4">
        <v>43830</v>
      </c>
    </row>
    <row r="16" spans="2:5" x14ac:dyDescent="0.25">
      <c r="B16" s="1" t="s">
        <v>13</v>
      </c>
      <c r="C16" s="2" t="s">
        <v>34</v>
      </c>
      <c r="E16" s="4">
        <v>43831</v>
      </c>
    </row>
    <row r="17" spans="2:5" x14ac:dyDescent="0.25">
      <c r="B17" s="1" t="s">
        <v>14</v>
      </c>
      <c r="C17" s="2" t="s">
        <v>33</v>
      </c>
      <c r="E17" s="4">
        <v>43933</v>
      </c>
    </row>
    <row r="18" spans="2:5" x14ac:dyDescent="0.25">
      <c r="B18" s="1" t="s">
        <v>17</v>
      </c>
      <c r="C18" s="13">
        <v>43466</v>
      </c>
      <c r="E18" s="4">
        <v>43956</v>
      </c>
    </row>
    <row r="19" spans="2:5" x14ac:dyDescent="0.25">
      <c r="E19" s="4">
        <v>43976</v>
      </c>
    </row>
    <row r="20" spans="2:5" x14ac:dyDescent="0.25">
      <c r="E20" s="4">
        <v>44016</v>
      </c>
    </row>
    <row r="21" spans="2:5" ht="23.25" x14ac:dyDescent="0.25">
      <c r="B21" s="34" t="s">
        <v>42</v>
      </c>
      <c r="C21" s="34"/>
      <c r="E21" s="4">
        <v>44081</v>
      </c>
    </row>
    <row r="22" spans="2:5" x14ac:dyDescent="0.25">
      <c r="B22" s="1" t="s">
        <v>43</v>
      </c>
      <c r="C22" s="19" t="b">
        <v>1</v>
      </c>
      <c r="E22" s="4">
        <v>44146</v>
      </c>
    </row>
    <row r="23" spans="2:5" x14ac:dyDescent="0.25">
      <c r="B23" s="1" t="s">
        <v>44</v>
      </c>
      <c r="C23" s="19" t="b">
        <v>1</v>
      </c>
      <c r="E23" s="4">
        <v>44161</v>
      </c>
    </row>
    <row r="24" spans="2:5" x14ac:dyDescent="0.25">
      <c r="E24" s="4">
        <v>44162</v>
      </c>
    </row>
    <row r="25" spans="2:5" x14ac:dyDescent="0.25">
      <c r="E25" s="4">
        <v>44189</v>
      </c>
    </row>
    <row r="26" spans="2:5" x14ac:dyDescent="0.25">
      <c r="E26" s="4">
        <v>44190</v>
      </c>
    </row>
    <row r="27" spans="2:5" x14ac:dyDescent="0.25">
      <c r="E27" s="4">
        <v>44196</v>
      </c>
    </row>
    <row r="28" spans="2:5" x14ac:dyDescent="0.25">
      <c r="E28" s="4">
        <v>44197</v>
      </c>
    </row>
    <row r="29" spans="2:5" x14ac:dyDescent="0.25">
      <c r="E29" s="4">
        <v>44290</v>
      </c>
    </row>
  </sheetData>
  <mergeCells count="3">
    <mergeCell ref="B2:C2"/>
    <mergeCell ref="B10:C10"/>
    <mergeCell ref="B21:C21"/>
  </mergeCells>
  <dataValidations count="1">
    <dataValidation type="list" showInputMessage="1" showErrorMessage="1" sqref="C22:C23" xr:uid="{AA3F715B-F4B6-4CFE-B0FE-3BFDCEBDD4C7}">
      <formula1>"TRUE,FALSE"</formula1>
    </dataValidation>
  </dataValidations>
  <pageMargins left="0.7" right="0.7" top="0.75" bottom="0.75" header="0.3" footer="0.3"/>
  <pageSetup paperSize="256" orientation="portrait" horizontalDpi="1200" verticalDpi="12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6AB93-6874-4502-B9DD-37581EA81046}">
  <sheetPr codeName="Sheet2">
    <tabColor theme="4" tint="0.39997558519241921"/>
  </sheetPr>
  <dimension ref="A1:N26"/>
  <sheetViews>
    <sheetView showGridLines="0" workbookViewId="0">
      <selection activeCell="F14" sqref="F14"/>
    </sheetView>
  </sheetViews>
  <sheetFormatPr defaultRowHeight="15" x14ac:dyDescent="0.25"/>
  <cols>
    <col min="1" max="1" width="2.85546875" customWidth="1"/>
    <col min="2" max="2" width="23.140625" bestFit="1" customWidth="1"/>
    <col min="3" max="3" width="2.85546875" customWidth="1"/>
    <col min="4" max="4" width="17.140625" customWidth="1"/>
    <col min="5" max="5" width="25.5703125" customWidth="1"/>
    <col min="6" max="6" width="16.7109375" bestFit="1" customWidth="1"/>
  </cols>
  <sheetData>
    <row r="1" spans="1:14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</row>
    <row r="2" spans="1:14" ht="15.75" x14ac:dyDescent="0.25">
      <c r="A2" s="6"/>
      <c r="B2" s="11" t="s">
        <v>31</v>
      </c>
      <c r="C2" s="6"/>
      <c r="D2" s="11" t="s">
        <v>35</v>
      </c>
      <c r="E2" s="11" t="s">
        <v>30</v>
      </c>
      <c r="F2" s="11" t="s">
        <v>32</v>
      </c>
      <c r="G2" s="6"/>
      <c r="H2" s="6"/>
      <c r="I2" s="6"/>
      <c r="J2" s="6"/>
      <c r="K2" s="6"/>
      <c r="L2" s="6"/>
      <c r="M2" s="6"/>
      <c r="N2" s="6"/>
    </row>
    <row r="3" spans="1:14" ht="15" customHeight="1" x14ac:dyDescent="0.25">
      <c r="A3" s="6"/>
      <c r="B3" s="12" t="str">
        <f>HYPERLINK("#Count!A1", "Count")</f>
        <v>Count</v>
      </c>
      <c r="C3" s="6"/>
      <c r="D3" s="22" t="s">
        <v>37</v>
      </c>
      <c r="E3" s="16" t="str">
        <f ca="1">HYPERLINK("#"&amp;TradesTable[[#This Row],[Trade ID]]&amp;"!A1", INDIRECT("'"&amp;TradesTable[[#This Row],[Trade ID]]&amp;"'!C3"))</f>
        <v>Example Trade</v>
      </c>
      <c r="F3" s="15">
        <f ca="1">INDIRECT("'"&amp;TradesTable[[#This Row],[Trade ID]]&amp;"'!C5")</f>
        <v>0</v>
      </c>
      <c r="G3" s="17"/>
      <c r="H3" s="6"/>
    </row>
    <row r="4" spans="1:14" ht="15.75" x14ac:dyDescent="0.25">
      <c r="A4" s="6"/>
      <c r="B4" s="12" t="str">
        <f>HYPERLINK("#Length!A1", "Length")</f>
        <v>Length</v>
      </c>
      <c r="D4" s="26" t="s">
        <v>75</v>
      </c>
      <c r="E4" s="27" t="str">
        <f ca="1">HYPERLINK("#"&amp;TradesTable[[#This Row],[Trade ID]]&amp;"!A1", INDIRECT("'"&amp;TradesTable[[#This Row],[Trade ID]]&amp;"'!C3"))</f>
        <v>TRADE NAME</v>
      </c>
      <c r="F4" s="15">
        <f ca="1">INDIRECT("'"&amp;TradesTable[[#This Row],[Trade ID]]&amp;"'!C5")</f>
        <v>0</v>
      </c>
    </row>
    <row r="5" spans="1:14" ht="15.75" x14ac:dyDescent="0.25">
      <c r="A5" s="6"/>
      <c r="B5" s="12" t="str">
        <f>HYPERLINK("#'Wall Area'!A1", "Wall Area")</f>
        <v>Wall Area</v>
      </c>
      <c r="D5" s="26" t="s">
        <v>78</v>
      </c>
      <c r="E5" s="27" t="str">
        <f ca="1">HYPERLINK("#"&amp;TradesTable[[#This Row],[Trade ID]]&amp;"!A1", INDIRECT("'"&amp;TradesTable[[#This Row],[Trade ID]]&amp;"'!C3"))</f>
        <v>TRADE NAME</v>
      </c>
      <c r="F5" s="15">
        <f ca="1">INDIRECT("'"&amp;TradesTable[[#This Row],[Trade ID]]&amp;"'!C5")</f>
        <v>0</v>
      </c>
    </row>
    <row r="6" spans="1:14" ht="15.75" x14ac:dyDescent="0.25">
      <c r="A6" s="6"/>
      <c r="B6" s="12" t="str">
        <f>HYPERLINK("#Area!A1", "Area")</f>
        <v>Area</v>
      </c>
    </row>
    <row r="7" spans="1:14" ht="15.75" x14ac:dyDescent="0.25">
      <c r="A7" s="6"/>
      <c r="B7" s="12" t="str">
        <f>HYPERLINK("#Volume!A1", "Volume")</f>
        <v>Volume</v>
      </c>
    </row>
    <row r="8" spans="1:14" ht="15.75" x14ac:dyDescent="0.25">
      <c r="A8" s="6"/>
      <c r="B8" s="12" t="str">
        <f>HYPERLINK("#Masonry!A1", "Masonry")</f>
        <v>Masonry</v>
      </c>
    </row>
    <row r="9" spans="1:14" x14ac:dyDescent="0.25">
      <c r="A9" s="6"/>
      <c r="B9" s="6"/>
    </row>
    <row r="10" spans="1:14" x14ac:dyDescent="0.25">
      <c r="A10" s="6"/>
      <c r="B10" s="6"/>
    </row>
    <row r="11" spans="1:14" x14ac:dyDescent="0.25">
      <c r="A11" s="6"/>
      <c r="B11" s="6"/>
    </row>
    <row r="12" spans="1:14" x14ac:dyDescent="0.25">
      <c r="A12" s="6"/>
      <c r="B12" s="6"/>
    </row>
    <row r="13" spans="1:14" x14ac:dyDescent="0.25">
      <c r="A13" s="6"/>
      <c r="B13" s="6"/>
    </row>
    <row r="14" spans="1:14" x14ac:dyDescent="0.25">
      <c r="A14" s="6"/>
      <c r="B14" s="6"/>
    </row>
    <row r="15" spans="1:14" x14ac:dyDescent="0.25">
      <c r="A15" s="6"/>
      <c r="B15" s="6"/>
    </row>
    <row r="16" spans="1:14" x14ac:dyDescent="0.25">
      <c r="A16" s="6"/>
      <c r="B16" s="6"/>
      <c r="C16" s="6"/>
    </row>
    <row r="17" spans="1:3" x14ac:dyDescent="0.25">
      <c r="A17" s="6"/>
      <c r="B17" s="6"/>
      <c r="C17" s="6"/>
    </row>
    <row r="18" spans="1:3" x14ac:dyDescent="0.25">
      <c r="A18" s="6"/>
      <c r="B18" s="6"/>
      <c r="C18" s="6"/>
    </row>
    <row r="19" spans="1:3" x14ac:dyDescent="0.25">
      <c r="A19" s="6"/>
      <c r="B19" s="6"/>
      <c r="C19" s="6"/>
    </row>
    <row r="20" spans="1:3" x14ac:dyDescent="0.25">
      <c r="A20" s="6"/>
      <c r="B20" s="6"/>
      <c r="C20" s="6"/>
    </row>
    <row r="21" spans="1:3" x14ac:dyDescent="0.25">
      <c r="A21" s="6"/>
      <c r="B21" s="6"/>
      <c r="C21" s="6"/>
    </row>
    <row r="22" spans="1:3" x14ac:dyDescent="0.25">
      <c r="A22" s="6"/>
      <c r="B22" s="6"/>
      <c r="C22" s="6"/>
    </row>
    <row r="23" spans="1:3" x14ac:dyDescent="0.25">
      <c r="A23" s="6"/>
      <c r="B23" s="6"/>
      <c r="C23" s="6"/>
    </row>
    <row r="24" spans="1:3" x14ac:dyDescent="0.25">
      <c r="A24" s="6"/>
      <c r="B24" s="6"/>
      <c r="C24" s="6"/>
    </row>
    <row r="25" spans="1:3" x14ac:dyDescent="0.25">
      <c r="A25" s="6"/>
      <c r="B25" s="6"/>
      <c r="C25" s="6"/>
    </row>
    <row r="26" spans="1:3" x14ac:dyDescent="0.25">
      <c r="A26" s="6"/>
      <c r="C26" s="6"/>
    </row>
  </sheetData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6FC45-DB6C-469A-BC33-CE7A828A1444}">
  <sheetPr codeName="Sheet11">
    <tabColor theme="5" tint="0.79998168889431442"/>
  </sheetPr>
  <dimension ref="B1:S18"/>
  <sheetViews>
    <sheetView workbookViewId="0">
      <selection activeCell="E4" sqref="E4:K7"/>
    </sheetView>
  </sheetViews>
  <sheetFormatPr defaultRowHeight="15" x14ac:dyDescent="0.25"/>
  <cols>
    <col min="1" max="1" width="2.85546875" customWidth="1"/>
    <col min="2" max="2" width="17.85546875" bestFit="1" customWidth="1"/>
    <col min="3" max="3" width="18.7109375" customWidth="1"/>
    <col min="4" max="4" width="2.85546875" customWidth="1"/>
    <col min="5" max="5" width="9.28515625" customWidth="1"/>
    <col min="6" max="6" width="8" customWidth="1"/>
    <col min="7" max="7" width="13.28515625" customWidth="1"/>
    <col min="8" max="8" width="11.85546875" customWidth="1"/>
    <col min="9" max="9" width="13" customWidth="1"/>
    <col min="11" max="11" width="17.85546875" customWidth="1"/>
    <col min="12" max="12" width="2.85546875" customWidth="1"/>
    <col min="13" max="13" width="11" customWidth="1"/>
  </cols>
  <sheetData>
    <row r="1" spans="2:19" x14ac:dyDescent="0.25">
      <c r="B1" s="18" t="str">
        <f>HYPERLINK("#Index!A1", "Back to Index")</f>
        <v>Back to Index</v>
      </c>
    </row>
    <row r="2" spans="2:19" ht="18.75" x14ac:dyDescent="0.25">
      <c r="B2" s="28" t="s">
        <v>28</v>
      </c>
      <c r="C2" s="28"/>
      <c r="E2" s="29" t="s">
        <v>27</v>
      </c>
      <c r="F2" s="30"/>
      <c r="G2" s="30"/>
      <c r="H2" s="30"/>
      <c r="I2" s="30"/>
      <c r="J2" s="30"/>
      <c r="K2" s="31"/>
      <c r="M2" s="32" t="s">
        <v>60</v>
      </c>
      <c r="N2" s="33"/>
      <c r="O2" s="33"/>
      <c r="P2" s="33"/>
      <c r="Q2" s="33"/>
      <c r="R2" s="33"/>
    </row>
    <row r="3" spans="2:19" x14ac:dyDescent="0.25">
      <c r="B3" t="s">
        <v>30</v>
      </c>
      <c r="C3" s="10" t="s">
        <v>38</v>
      </c>
      <c r="E3" s="5" t="s">
        <v>16</v>
      </c>
      <c r="F3" s="6" t="s">
        <v>22</v>
      </c>
      <c r="G3" s="6" t="s">
        <v>19</v>
      </c>
      <c r="H3" s="6" t="s">
        <v>20</v>
      </c>
      <c r="I3" s="6" t="s">
        <v>21</v>
      </c>
      <c r="J3" s="6" t="s">
        <v>23</v>
      </c>
      <c r="K3" s="7" t="s">
        <v>24</v>
      </c>
      <c r="L3" s="6" t="s">
        <v>69</v>
      </c>
      <c r="M3" s="6" t="s">
        <v>71</v>
      </c>
      <c r="N3" s="6" t="s">
        <v>70</v>
      </c>
      <c r="O3" s="6" t="s">
        <v>72</v>
      </c>
      <c r="P3" s="6" t="s">
        <v>73</v>
      </c>
      <c r="Q3" s="6" t="s">
        <v>74</v>
      </c>
      <c r="S3" t="s">
        <v>26</v>
      </c>
    </row>
    <row r="4" spans="2:19" x14ac:dyDescent="0.25">
      <c r="B4" t="s">
        <v>29</v>
      </c>
      <c r="C4" s="10" t="s">
        <v>36</v>
      </c>
      <c r="E4" s="10" t="s">
        <v>61</v>
      </c>
      <c r="F4" s="8" t="s">
        <v>65</v>
      </c>
      <c r="G4" s="8"/>
      <c r="H4" s="24">
        <v>43647</v>
      </c>
      <c r="I4" s="24">
        <v>43677</v>
      </c>
      <c r="J4" s="8">
        <v>500</v>
      </c>
      <c r="K4" s="9">
        <v>400</v>
      </c>
      <c r="L4" s="6"/>
      <c r="M4" s="6"/>
      <c r="N4" s="6"/>
      <c r="O4" s="6"/>
      <c r="P4" s="6"/>
      <c r="Q4" s="6"/>
    </row>
    <row r="5" spans="2:19" x14ac:dyDescent="0.25">
      <c r="B5" t="s">
        <v>32</v>
      </c>
      <c r="C5" s="14"/>
      <c r="E5" s="10" t="s">
        <v>62</v>
      </c>
      <c r="F5" t="s">
        <v>66</v>
      </c>
      <c r="H5" s="24">
        <v>43661</v>
      </c>
      <c r="I5" s="24">
        <v>43692</v>
      </c>
      <c r="J5">
        <v>500</v>
      </c>
      <c r="K5">
        <v>100</v>
      </c>
    </row>
    <row r="6" spans="2:19" x14ac:dyDescent="0.25">
      <c r="B6" t="s">
        <v>45</v>
      </c>
      <c r="C6" s="10"/>
      <c r="E6" s="10" t="s">
        <v>63</v>
      </c>
      <c r="F6" t="s">
        <v>67</v>
      </c>
      <c r="H6" s="24">
        <v>43678</v>
      </c>
      <c r="I6" s="24">
        <v>43707</v>
      </c>
      <c r="J6">
        <v>500</v>
      </c>
      <c r="K6">
        <v>0</v>
      </c>
    </row>
    <row r="7" spans="2:19" x14ac:dyDescent="0.25">
      <c r="E7" s="23" t="s">
        <v>64</v>
      </c>
      <c r="F7" s="6" t="s">
        <v>68</v>
      </c>
      <c r="G7" s="6"/>
      <c r="H7" s="25">
        <v>43692</v>
      </c>
      <c r="I7" s="25">
        <v>43723</v>
      </c>
      <c r="J7" s="6">
        <v>500</v>
      </c>
      <c r="K7" s="6">
        <v>0</v>
      </c>
      <c r="L7" s="6"/>
      <c r="M7" s="6"/>
      <c r="N7" s="6"/>
      <c r="O7" s="6"/>
      <c r="P7" s="6"/>
      <c r="Q7" s="6"/>
    </row>
    <row r="10" spans="2:19" x14ac:dyDescent="0.25">
      <c r="B10" s="28" t="s">
        <v>18</v>
      </c>
      <c r="C10" s="28"/>
    </row>
    <row r="11" spans="2:19" x14ac:dyDescent="0.25">
      <c r="B11" s="1" t="s">
        <v>8</v>
      </c>
      <c r="C11" s="2" t="str">
        <f>Works_Sunday</f>
        <v>NO</v>
      </c>
    </row>
    <row r="12" spans="2:19" x14ac:dyDescent="0.25">
      <c r="B12" s="1" t="s">
        <v>9</v>
      </c>
      <c r="C12" s="2" t="str">
        <f>Works_Monday</f>
        <v>YES</v>
      </c>
    </row>
    <row r="13" spans="2:19" x14ac:dyDescent="0.25">
      <c r="B13" s="1" t="s">
        <v>10</v>
      </c>
      <c r="C13" s="2" t="str">
        <f>Works_Tuesday</f>
        <v>YES</v>
      </c>
    </row>
    <row r="14" spans="2:19" x14ac:dyDescent="0.25">
      <c r="B14" s="1" t="s">
        <v>11</v>
      </c>
      <c r="C14" s="2" t="str">
        <f>Works_Wednesday</f>
        <v>YES</v>
      </c>
    </row>
    <row r="15" spans="2:19" x14ac:dyDescent="0.25">
      <c r="B15" s="1" t="s">
        <v>12</v>
      </c>
      <c r="C15" s="2" t="str">
        <f>Works_Thrusday</f>
        <v>YES</v>
      </c>
    </row>
    <row r="16" spans="2:19" x14ac:dyDescent="0.25">
      <c r="B16" s="1" t="s">
        <v>13</v>
      </c>
      <c r="C16" s="2" t="str">
        <f>Works_Friday</f>
        <v>YES</v>
      </c>
    </row>
    <row r="17" spans="2:3" x14ac:dyDescent="0.25">
      <c r="B17" s="1" t="s">
        <v>14</v>
      </c>
      <c r="C17" s="2" t="str">
        <f>Works_Saturday</f>
        <v>NO</v>
      </c>
    </row>
    <row r="18" spans="2:3" x14ac:dyDescent="0.25">
      <c r="B18" s="1" t="s">
        <v>17</v>
      </c>
      <c r="C18" s="13">
        <f>Schedule_Run_Date</f>
        <v>43466</v>
      </c>
    </row>
  </sheetData>
  <mergeCells count="4">
    <mergeCell ref="B2:C2"/>
    <mergeCell ref="E2:K2"/>
    <mergeCell ref="M2:R2"/>
    <mergeCell ref="B10:C10"/>
  </mergeCells>
  <dataValidations count="2">
    <dataValidation type="date" operator="greaterThan" allowBlank="1" showInputMessage="1" showErrorMessage="1" sqref="C18" xr:uid="{81D34299-DA28-4120-9079-257FC7CDCD61}">
      <formula1>1</formula1>
    </dataValidation>
    <dataValidation type="list" showInputMessage="1" showErrorMessage="1" sqref="C11:C17" xr:uid="{7A68DEEA-1A5A-4E24-8A9C-C8C37F8C90E5}">
      <formula1>"NO,YES"</formula1>
    </dataValidation>
  </dataValidation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4EAED-D231-451E-A3F6-3F9337FBD94D}">
  <sheetPr codeName="Sheet6">
    <tabColor theme="5" tint="0.79998168889431442"/>
  </sheetPr>
  <dimension ref="B1:U18"/>
  <sheetViews>
    <sheetView workbookViewId="0">
      <selection activeCell="E4" sqref="E4:K7"/>
    </sheetView>
  </sheetViews>
  <sheetFormatPr defaultRowHeight="15" x14ac:dyDescent="0.25"/>
  <cols>
    <col min="1" max="1" width="2.85546875" customWidth="1"/>
    <col min="2" max="2" width="17.85546875" bestFit="1" customWidth="1"/>
    <col min="3" max="3" width="18.7109375" customWidth="1"/>
    <col min="4" max="4" width="2.85546875" customWidth="1"/>
    <col min="5" max="5" width="9.28515625" customWidth="1"/>
    <col min="6" max="6" width="11.28515625" customWidth="1"/>
    <col min="7" max="7" width="22.5703125" customWidth="1"/>
    <col min="8" max="8" width="11.85546875" customWidth="1"/>
    <col min="9" max="9" width="12" customWidth="1"/>
    <col min="10" max="10" width="14.28515625" customWidth="1"/>
    <col min="11" max="11" width="16.7109375" customWidth="1"/>
    <col min="12" max="12" width="2.85546875" customWidth="1"/>
    <col min="13" max="13" width="7.42578125" bestFit="1" customWidth="1"/>
    <col min="14" max="14" width="14.7109375" bestFit="1" customWidth="1"/>
    <col min="15" max="15" width="16.140625" bestFit="1" customWidth="1"/>
    <col min="16" max="16" width="14.7109375" bestFit="1" customWidth="1"/>
    <col min="17" max="17" width="16.140625" bestFit="1" customWidth="1"/>
    <col min="18" max="18" width="14.7109375" bestFit="1" customWidth="1"/>
    <col min="19" max="19" width="16.140625" bestFit="1" customWidth="1"/>
    <col min="20" max="20" width="14.7109375" bestFit="1" customWidth="1"/>
    <col min="21" max="21" width="16.140625" bestFit="1" customWidth="1"/>
  </cols>
  <sheetData>
    <row r="1" spans="2:21" x14ac:dyDescent="0.25">
      <c r="B1" s="18" t="str">
        <f>HYPERLINK("#Index!A1", "Back to Index")</f>
        <v>Back to Index</v>
      </c>
    </row>
    <row r="2" spans="2:21" ht="18.75" x14ac:dyDescent="0.25">
      <c r="B2" s="28" t="s">
        <v>28</v>
      </c>
      <c r="C2" s="28"/>
      <c r="E2" s="29" t="s">
        <v>27</v>
      </c>
      <c r="F2" s="30"/>
      <c r="G2" s="30"/>
      <c r="H2" s="30"/>
      <c r="I2" s="30"/>
      <c r="J2" s="30"/>
      <c r="K2" s="31"/>
      <c r="M2" s="32" t="s">
        <v>25</v>
      </c>
      <c r="N2" s="33"/>
      <c r="O2" s="33"/>
      <c r="P2" s="33"/>
      <c r="Q2" s="33"/>
      <c r="R2" s="33"/>
    </row>
    <row r="3" spans="2:21" x14ac:dyDescent="0.25">
      <c r="B3" t="s">
        <v>30</v>
      </c>
      <c r="C3" s="10" t="s">
        <v>39</v>
      </c>
      <c r="E3" s="5" t="s">
        <v>41</v>
      </c>
      <c r="F3" s="6" t="s">
        <v>22</v>
      </c>
      <c r="G3" s="6" t="s">
        <v>19</v>
      </c>
      <c r="H3" s="6" t="s">
        <v>20</v>
      </c>
      <c r="I3" s="6" t="s">
        <v>21</v>
      </c>
      <c r="J3" s="6" t="s">
        <v>23</v>
      </c>
      <c r="K3" s="7" t="s">
        <v>24</v>
      </c>
      <c r="M3" t="s">
        <v>16</v>
      </c>
      <c r="N3" t="s">
        <v>76</v>
      </c>
      <c r="O3" t="s">
        <v>77</v>
      </c>
      <c r="P3" t="s">
        <v>69</v>
      </c>
      <c r="Q3" t="s">
        <v>71</v>
      </c>
      <c r="R3" t="s">
        <v>70</v>
      </c>
      <c r="S3" t="s">
        <v>72</v>
      </c>
      <c r="T3" t="s">
        <v>73</v>
      </c>
      <c r="U3" t="s">
        <v>74</v>
      </c>
    </row>
    <row r="4" spans="2:21" x14ac:dyDescent="0.25">
      <c r="B4" t="s">
        <v>29</v>
      </c>
      <c r="C4" s="10" t="s">
        <v>40</v>
      </c>
      <c r="E4" s="10" t="s">
        <v>61</v>
      </c>
      <c r="F4" s="8" t="s">
        <v>65</v>
      </c>
      <c r="G4" s="8"/>
      <c r="H4" s="24">
        <v>43647</v>
      </c>
      <c r="I4" s="24">
        <v>43677</v>
      </c>
      <c r="J4" s="8">
        <v>500</v>
      </c>
      <c r="K4" s="9">
        <v>400</v>
      </c>
    </row>
    <row r="5" spans="2:21" x14ac:dyDescent="0.25">
      <c r="B5" t="s">
        <v>32</v>
      </c>
      <c r="C5" s="14"/>
      <c r="E5" s="10" t="s">
        <v>62</v>
      </c>
      <c r="F5" t="s">
        <v>66</v>
      </c>
      <c r="H5" s="24">
        <v>43661</v>
      </c>
      <c r="I5" s="24">
        <v>43692</v>
      </c>
      <c r="J5">
        <v>500</v>
      </c>
      <c r="K5">
        <v>100</v>
      </c>
    </row>
    <row r="6" spans="2:21" x14ac:dyDescent="0.25">
      <c r="B6" t="s">
        <v>45</v>
      </c>
      <c r="C6" s="10"/>
      <c r="E6" s="10" t="s">
        <v>63</v>
      </c>
      <c r="F6" t="s">
        <v>67</v>
      </c>
      <c r="H6" s="24">
        <v>43678</v>
      </c>
      <c r="I6" s="24">
        <v>43707</v>
      </c>
      <c r="J6">
        <v>500</v>
      </c>
      <c r="K6">
        <v>0</v>
      </c>
    </row>
    <row r="7" spans="2:21" x14ac:dyDescent="0.25">
      <c r="E7" s="23" t="s">
        <v>64</v>
      </c>
      <c r="F7" s="6" t="s">
        <v>68</v>
      </c>
      <c r="G7" s="6"/>
      <c r="H7" s="25">
        <v>43692</v>
      </c>
      <c r="I7" s="25">
        <v>43723</v>
      </c>
      <c r="J7" s="6">
        <v>500</v>
      </c>
      <c r="K7" s="6">
        <v>0</v>
      </c>
    </row>
    <row r="10" spans="2:21" x14ac:dyDescent="0.25">
      <c r="B10" s="28" t="s">
        <v>18</v>
      </c>
      <c r="C10" s="28"/>
    </row>
    <row r="11" spans="2:21" x14ac:dyDescent="0.25">
      <c r="B11" s="1" t="s">
        <v>8</v>
      </c>
      <c r="C11" s="2" t="str">
        <f>Works_Sunday</f>
        <v>NO</v>
      </c>
    </row>
    <row r="12" spans="2:21" x14ac:dyDescent="0.25">
      <c r="B12" s="1" t="s">
        <v>9</v>
      </c>
      <c r="C12" s="2" t="str">
        <f>Works_Monday</f>
        <v>YES</v>
      </c>
    </row>
    <row r="13" spans="2:21" x14ac:dyDescent="0.25">
      <c r="B13" s="1" t="s">
        <v>10</v>
      </c>
      <c r="C13" s="2" t="str">
        <f>Works_Tuesday</f>
        <v>YES</v>
      </c>
    </row>
    <row r="14" spans="2:21" x14ac:dyDescent="0.25">
      <c r="B14" s="1" t="s">
        <v>11</v>
      </c>
      <c r="C14" s="2" t="str">
        <f>Works_Wednesday</f>
        <v>YES</v>
      </c>
    </row>
    <row r="15" spans="2:21" x14ac:dyDescent="0.25">
      <c r="B15" s="1" t="s">
        <v>12</v>
      </c>
      <c r="C15" s="2" t="str">
        <f>Works_Thrusday</f>
        <v>YES</v>
      </c>
    </row>
    <row r="16" spans="2:21" x14ac:dyDescent="0.25">
      <c r="B16" s="1" t="s">
        <v>13</v>
      </c>
      <c r="C16" s="2" t="str">
        <f>Works_Friday</f>
        <v>YES</v>
      </c>
    </row>
    <row r="17" spans="2:3" x14ac:dyDescent="0.25">
      <c r="B17" s="1" t="s">
        <v>14</v>
      </c>
      <c r="C17" s="2" t="str">
        <f>Works_Saturday</f>
        <v>NO</v>
      </c>
    </row>
    <row r="18" spans="2:3" x14ac:dyDescent="0.25">
      <c r="B18" s="1" t="s">
        <v>17</v>
      </c>
      <c r="C18" s="13">
        <f>Schedule_Run_Date</f>
        <v>43466</v>
      </c>
    </row>
  </sheetData>
  <mergeCells count="4">
    <mergeCell ref="B2:C2"/>
    <mergeCell ref="E2:K2"/>
    <mergeCell ref="M2:R2"/>
    <mergeCell ref="B10:C10"/>
  </mergeCells>
  <dataValidations count="2">
    <dataValidation type="date" operator="greaterThan" allowBlank="1" showInputMessage="1" showErrorMessage="1" sqref="C18" xr:uid="{F188FC39-CDCD-41E3-8A95-35BF86E2D1DC}">
      <formula1>1</formula1>
    </dataValidation>
    <dataValidation type="list" showInputMessage="1" showErrorMessage="1" sqref="C11:C17" xr:uid="{AB5E27D2-ED62-48F9-970A-D3B164D0822B}">
      <formula1>"NO,YES"</formula1>
    </dataValidation>
  </dataValidation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8AA41-10B1-46E6-92D0-A85939E589F8}">
  <sheetPr codeName="Sheet7">
    <tabColor theme="5" tint="0.79998168889431442"/>
  </sheetPr>
  <dimension ref="B1:U156"/>
  <sheetViews>
    <sheetView tabSelected="1" workbookViewId="0">
      <selection activeCell="H25" sqref="H25"/>
    </sheetView>
  </sheetViews>
  <sheetFormatPr defaultRowHeight="15" x14ac:dyDescent="0.25"/>
  <cols>
    <col min="1" max="1" width="2.85546875" customWidth="1"/>
    <col min="2" max="2" width="17.85546875" bestFit="1" customWidth="1"/>
    <col min="3" max="3" width="18.7109375" customWidth="1"/>
    <col min="4" max="4" width="2.85546875" customWidth="1"/>
    <col min="5" max="5" width="9.28515625" customWidth="1"/>
    <col min="6" max="6" width="11.28515625" customWidth="1"/>
    <col min="7" max="7" width="22.5703125" customWidth="1"/>
    <col min="8" max="8" width="11.85546875" customWidth="1"/>
    <col min="9" max="9" width="12" customWidth="1"/>
    <col min="10" max="10" width="14.28515625" customWidth="1"/>
    <col min="11" max="11" width="16.7109375" customWidth="1"/>
    <col min="12" max="12" width="2.85546875" customWidth="1"/>
    <col min="13" max="13" width="9.7109375" bestFit="1" customWidth="1"/>
    <col min="14" max="14" width="14.7109375" bestFit="1" customWidth="1"/>
    <col min="15" max="15" width="16.140625" bestFit="1" customWidth="1"/>
    <col min="16" max="16" width="14.7109375" bestFit="1" customWidth="1"/>
    <col min="17" max="17" width="16.140625" bestFit="1" customWidth="1"/>
    <col min="18" max="18" width="14.7109375" bestFit="1" customWidth="1"/>
    <col min="19" max="19" width="16.140625" bestFit="1" customWidth="1"/>
    <col min="20" max="20" width="14.7109375" bestFit="1" customWidth="1"/>
    <col min="21" max="21" width="16.140625" bestFit="1" customWidth="1"/>
  </cols>
  <sheetData>
    <row r="1" spans="2:21" x14ac:dyDescent="0.25">
      <c r="B1" s="18" t="str">
        <f>HYPERLINK("#Index!A1", "Back to Index")</f>
        <v>Back to Index</v>
      </c>
    </row>
    <row r="2" spans="2:21" ht="18.75" x14ac:dyDescent="0.25">
      <c r="B2" s="28" t="s">
        <v>28</v>
      </c>
      <c r="C2" s="28"/>
      <c r="E2" s="29" t="s">
        <v>27</v>
      </c>
      <c r="F2" s="30"/>
      <c r="G2" s="30"/>
      <c r="H2" s="30"/>
      <c r="I2" s="30"/>
      <c r="J2" s="30"/>
      <c r="K2" s="31"/>
      <c r="M2" s="32" t="s">
        <v>25</v>
      </c>
      <c r="N2" s="33"/>
      <c r="O2" s="33"/>
      <c r="P2" s="33"/>
      <c r="Q2" s="33"/>
      <c r="R2" s="33"/>
    </row>
    <row r="3" spans="2:21" x14ac:dyDescent="0.25">
      <c r="B3" t="s">
        <v>30</v>
      </c>
      <c r="C3" s="10" t="s">
        <v>39</v>
      </c>
      <c r="E3" s="5" t="s">
        <v>41</v>
      </c>
      <c r="F3" s="6" t="s">
        <v>22</v>
      </c>
      <c r="G3" s="6" t="s">
        <v>19</v>
      </c>
      <c r="H3" s="6" t="s">
        <v>20</v>
      </c>
      <c r="I3" s="6" t="s">
        <v>21</v>
      </c>
      <c r="J3" s="6" t="s">
        <v>23</v>
      </c>
      <c r="K3" s="7" t="s">
        <v>24</v>
      </c>
      <c r="M3" s="4" t="s">
        <v>16</v>
      </c>
      <c r="N3" s="4" t="s">
        <v>76</v>
      </c>
      <c r="O3" s="4" t="s">
        <v>77</v>
      </c>
      <c r="P3" s="4" t="s">
        <v>69</v>
      </c>
      <c r="Q3" s="4" t="s">
        <v>71</v>
      </c>
      <c r="R3" s="4" t="s">
        <v>70</v>
      </c>
      <c r="S3" s="4" t="s">
        <v>72</v>
      </c>
      <c r="T3" s="4" t="s">
        <v>73</v>
      </c>
      <c r="U3" s="4" t="s">
        <v>74</v>
      </c>
    </row>
    <row r="4" spans="2:21" x14ac:dyDescent="0.25">
      <c r="B4" t="s">
        <v>29</v>
      </c>
      <c r="C4" s="10" t="s">
        <v>40</v>
      </c>
      <c r="E4" s="10" t="s">
        <v>61</v>
      </c>
      <c r="F4" s="8" t="s">
        <v>65</v>
      </c>
      <c r="G4" s="8"/>
      <c r="H4" s="24">
        <v>43647</v>
      </c>
      <c r="I4" s="24">
        <v>43677</v>
      </c>
      <c r="J4" s="8">
        <v>500</v>
      </c>
      <c r="K4" s="9">
        <v>400</v>
      </c>
      <c r="M4" s="4">
        <v>43647</v>
      </c>
      <c r="N4" s="4"/>
      <c r="O4" s="4"/>
      <c r="P4" s="4"/>
      <c r="Q4" s="4"/>
      <c r="R4" s="4"/>
      <c r="S4" s="4"/>
      <c r="T4" s="4"/>
      <c r="U4" s="4"/>
    </row>
    <row r="5" spans="2:21" x14ac:dyDescent="0.25">
      <c r="B5" t="s">
        <v>32</v>
      </c>
      <c r="C5" s="14"/>
      <c r="E5" s="10" t="s">
        <v>62</v>
      </c>
      <c r="F5" t="s">
        <v>66</v>
      </c>
      <c r="H5" s="24">
        <v>43661</v>
      </c>
      <c r="I5" s="24">
        <v>43692</v>
      </c>
      <c r="J5">
        <v>500</v>
      </c>
      <c r="K5">
        <v>100</v>
      </c>
      <c r="M5" s="4">
        <v>43648</v>
      </c>
      <c r="N5" s="4"/>
      <c r="O5" s="4"/>
      <c r="P5" s="4"/>
      <c r="Q5" s="4"/>
      <c r="R5" s="4"/>
      <c r="S5" s="4"/>
      <c r="T5" s="4"/>
      <c r="U5" s="4"/>
    </row>
    <row r="6" spans="2:21" x14ac:dyDescent="0.25">
      <c r="B6" t="s">
        <v>45</v>
      </c>
      <c r="C6" s="10"/>
      <c r="E6" s="10" t="s">
        <v>63</v>
      </c>
      <c r="F6" t="s">
        <v>67</v>
      </c>
      <c r="H6" s="24">
        <v>43678</v>
      </c>
      <c r="I6" s="24">
        <v>43707</v>
      </c>
      <c r="J6">
        <v>500</v>
      </c>
      <c r="K6">
        <v>0</v>
      </c>
      <c r="M6" s="4">
        <v>43649</v>
      </c>
      <c r="N6" s="4"/>
      <c r="O6" s="4"/>
      <c r="P6" s="4"/>
      <c r="Q6" s="4"/>
      <c r="R6" s="4"/>
      <c r="S6" s="4"/>
      <c r="T6" s="4"/>
      <c r="U6" s="4"/>
    </row>
    <row r="7" spans="2:21" x14ac:dyDescent="0.25">
      <c r="E7" s="23" t="s">
        <v>64</v>
      </c>
      <c r="F7" s="6" t="s">
        <v>68</v>
      </c>
      <c r="G7" s="6"/>
      <c r="H7" s="25">
        <v>43692</v>
      </c>
      <c r="I7" s="25">
        <v>43723</v>
      </c>
      <c r="J7" s="6">
        <v>500</v>
      </c>
      <c r="K7" s="6">
        <v>0</v>
      </c>
      <c r="M7" s="4">
        <v>43650</v>
      </c>
      <c r="N7" s="4"/>
      <c r="O7" s="4"/>
      <c r="P7" s="4"/>
      <c r="Q7" s="4"/>
      <c r="R7" s="4"/>
      <c r="S7" s="4"/>
      <c r="T7" s="4"/>
      <c r="U7" s="4"/>
    </row>
    <row r="8" spans="2:21" x14ac:dyDescent="0.25">
      <c r="M8" s="4">
        <v>43651</v>
      </c>
      <c r="N8" s="4"/>
      <c r="O8" s="4"/>
      <c r="P8" s="4"/>
      <c r="Q8" s="4"/>
      <c r="R8" s="4"/>
      <c r="S8" s="4"/>
      <c r="T8" s="4"/>
      <c r="U8" s="4"/>
    </row>
    <row r="9" spans="2:21" x14ac:dyDescent="0.25">
      <c r="M9" s="4">
        <v>43652</v>
      </c>
      <c r="N9" s="4"/>
      <c r="O9" s="4"/>
      <c r="P9" s="4"/>
      <c r="Q9" s="4"/>
      <c r="R9" s="4"/>
      <c r="S9" s="4"/>
      <c r="T9" s="4"/>
      <c r="U9" s="4"/>
    </row>
    <row r="10" spans="2:21" x14ac:dyDescent="0.25">
      <c r="B10" s="28" t="s">
        <v>18</v>
      </c>
      <c r="C10" s="28"/>
      <c r="M10" s="4">
        <v>43653</v>
      </c>
      <c r="N10" s="4"/>
      <c r="O10" s="4"/>
      <c r="P10" s="4"/>
      <c r="Q10" s="4"/>
      <c r="R10" s="4"/>
      <c r="S10" s="4"/>
      <c r="T10" s="4"/>
      <c r="U10" s="4"/>
    </row>
    <row r="11" spans="2:21" x14ac:dyDescent="0.25">
      <c r="B11" s="1" t="s">
        <v>8</v>
      </c>
      <c r="C11" s="2" t="str">
        <f>Works_Sunday</f>
        <v>NO</v>
      </c>
      <c r="M11" s="4">
        <v>43654</v>
      </c>
      <c r="N11" s="4"/>
      <c r="O11" s="4"/>
      <c r="P11" s="4"/>
      <c r="Q11" s="4"/>
      <c r="R11" s="4"/>
      <c r="S11" s="4"/>
      <c r="T11" s="4"/>
      <c r="U11" s="4"/>
    </row>
    <row r="12" spans="2:21" x14ac:dyDescent="0.25">
      <c r="B12" s="1" t="s">
        <v>9</v>
      </c>
      <c r="C12" s="2" t="str">
        <f>Works_Monday</f>
        <v>YES</v>
      </c>
      <c r="M12" s="4">
        <v>43655</v>
      </c>
      <c r="N12" s="4"/>
      <c r="O12" s="4"/>
      <c r="P12" s="4"/>
      <c r="Q12" s="4"/>
      <c r="R12" s="4"/>
      <c r="S12" s="4"/>
      <c r="T12" s="4"/>
      <c r="U12" s="4"/>
    </row>
    <row r="13" spans="2:21" x14ac:dyDescent="0.25">
      <c r="B13" s="1" t="s">
        <v>10</v>
      </c>
      <c r="C13" s="2" t="str">
        <f>Works_Tuesday</f>
        <v>YES</v>
      </c>
      <c r="M13" s="4">
        <v>43656</v>
      </c>
      <c r="N13" s="4"/>
      <c r="O13" s="4"/>
      <c r="P13" s="4"/>
      <c r="Q13" s="4"/>
      <c r="R13" s="4"/>
      <c r="S13" s="4"/>
      <c r="T13" s="4"/>
      <c r="U13" s="4"/>
    </row>
    <row r="14" spans="2:21" x14ac:dyDescent="0.25">
      <c r="B14" s="1" t="s">
        <v>11</v>
      </c>
      <c r="C14" s="2" t="str">
        <f>Works_Wednesday</f>
        <v>YES</v>
      </c>
      <c r="M14" s="4">
        <v>43657</v>
      </c>
      <c r="N14" s="4"/>
      <c r="O14" s="4"/>
      <c r="P14" s="4"/>
      <c r="Q14" s="4"/>
      <c r="R14" s="4"/>
      <c r="S14" s="4"/>
      <c r="T14" s="4"/>
      <c r="U14" s="4"/>
    </row>
    <row r="15" spans="2:21" x14ac:dyDescent="0.25">
      <c r="B15" s="1" t="s">
        <v>12</v>
      </c>
      <c r="C15" s="2" t="str">
        <f>Works_Thrusday</f>
        <v>YES</v>
      </c>
      <c r="M15" s="4">
        <v>43658</v>
      </c>
      <c r="N15" s="4"/>
      <c r="O15" s="4"/>
      <c r="P15" s="4"/>
      <c r="Q15" s="4"/>
      <c r="R15" s="4"/>
      <c r="S15" s="4"/>
      <c r="T15" s="4"/>
      <c r="U15" s="4"/>
    </row>
    <row r="16" spans="2:21" x14ac:dyDescent="0.25">
      <c r="B16" s="1" t="s">
        <v>13</v>
      </c>
      <c r="C16" s="2" t="str">
        <f>Works_Friday</f>
        <v>YES</v>
      </c>
      <c r="M16" s="4">
        <v>43659</v>
      </c>
      <c r="N16" s="4"/>
      <c r="O16" s="4"/>
      <c r="P16" s="4"/>
      <c r="Q16" s="4"/>
      <c r="R16" s="4"/>
      <c r="S16" s="4"/>
      <c r="T16" s="4"/>
      <c r="U16" s="4"/>
    </row>
    <row r="17" spans="2:21" x14ac:dyDescent="0.25">
      <c r="B17" s="1" t="s">
        <v>14</v>
      </c>
      <c r="C17" s="2" t="str">
        <f>Works_Saturday</f>
        <v>NO</v>
      </c>
      <c r="M17" s="4">
        <v>43660</v>
      </c>
      <c r="N17" s="4"/>
      <c r="O17" s="4"/>
      <c r="P17" s="4"/>
      <c r="Q17" s="4"/>
      <c r="R17" s="4"/>
      <c r="S17" s="4"/>
      <c r="T17" s="4"/>
      <c r="U17" s="4"/>
    </row>
    <row r="18" spans="2:21" x14ac:dyDescent="0.25">
      <c r="B18" s="1" t="s">
        <v>17</v>
      </c>
      <c r="C18" s="13">
        <f>Schedule_Run_Date</f>
        <v>43466</v>
      </c>
      <c r="M18" s="4">
        <v>43661</v>
      </c>
      <c r="N18" s="4"/>
      <c r="O18" s="4"/>
      <c r="P18" s="4"/>
      <c r="Q18" s="4"/>
      <c r="R18" s="4"/>
      <c r="S18" s="4"/>
      <c r="T18" s="4"/>
      <c r="U18" s="4"/>
    </row>
    <row r="19" spans="2:21" x14ac:dyDescent="0.25">
      <c r="M19" s="4">
        <v>43662</v>
      </c>
      <c r="N19" s="4"/>
      <c r="O19" s="4"/>
      <c r="P19" s="4"/>
      <c r="Q19" s="4"/>
      <c r="R19" s="4"/>
      <c r="S19" s="4"/>
      <c r="T19" s="4"/>
      <c r="U19" s="4"/>
    </row>
    <row r="20" spans="2:21" x14ac:dyDescent="0.25">
      <c r="M20" s="4">
        <v>43663</v>
      </c>
      <c r="N20" s="4"/>
      <c r="O20" s="4"/>
      <c r="P20" s="4"/>
      <c r="Q20" s="4"/>
      <c r="R20" s="4"/>
      <c r="S20" s="4"/>
      <c r="T20" s="4"/>
      <c r="U20" s="4"/>
    </row>
    <row r="21" spans="2:21" x14ac:dyDescent="0.25">
      <c r="M21" s="4">
        <v>43664</v>
      </c>
      <c r="N21" s="4"/>
      <c r="O21" s="4"/>
      <c r="P21" s="4"/>
      <c r="Q21" s="4"/>
      <c r="R21" s="4"/>
      <c r="S21" s="4"/>
      <c r="T21" s="4"/>
      <c r="U21" s="4"/>
    </row>
    <row r="22" spans="2:21" x14ac:dyDescent="0.25">
      <c r="M22" s="4">
        <v>43665</v>
      </c>
      <c r="N22" s="4"/>
      <c r="O22" s="4"/>
      <c r="P22" s="4"/>
      <c r="Q22" s="4"/>
      <c r="R22" s="4"/>
      <c r="S22" s="4"/>
      <c r="T22" s="4"/>
      <c r="U22" s="4"/>
    </row>
    <row r="23" spans="2:21" x14ac:dyDescent="0.25">
      <c r="M23" s="4">
        <v>43666</v>
      </c>
      <c r="N23" s="4"/>
      <c r="O23" s="4"/>
      <c r="P23" s="4"/>
      <c r="Q23" s="4"/>
      <c r="R23" s="4"/>
      <c r="S23" s="4"/>
      <c r="T23" s="4"/>
      <c r="U23" s="4"/>
    </row>
    <row r="24" spans="2:21" x14ac:dyDescent="0.25">
      <c r="M24" s="4">
        <v>43667</v>
      </c>
      <c r="N24" s="4"/>
      <c r="O24" s="4"/>
      <c r="P24" s="4"/>
      <c r="Q24" s="4"/>
      <c r="R24" s="4"/>
      <c r="S24" s="4"/>
      <c r="T24" s="4"/>
      <c r="U24" s="4"/>
    </row>
    <row r="25" spans="2:21" x14ac:dyDescent="0.25">
      <c r="M25" s="4">
        <v>43668</v>
      </c>
      <c r="N25" s="4"/>
      <c r="O25" s="4"/>
      <c r="P25" s="4"/>
      <c r="Q25" s="4"/>
      <c r="R25" s="4"/>
      <c r="S25" s="4"/>
      <c r="T25" s="4"/>
      <c r="U25" s="4"/>
    </row>
    <row r="26" spans="2:21" x14ac:dyDescent="0.25">
      <c r="M26" s="4">
        <v>43669</v>
      </c>
      <c r="N26" s="4"/>
      <c r="O26" s="4"/>
      <c r="P26" s="4"/>
      <c r="Q26" s="4"/>
      <c r="R26" s="4"/>
      <c r="S26" s="4"/>
      <c r="T26" s="4"/>
      <c r="U26" s="4"/>
    </row>
    <row r="27" spans="2:21" x14ac:dyDescent="0.25">
      <c r="M27" s="4">
        <v>43670</v>
      </c>
      <c r="N27" s="4"/>
      <c r="O27" s="4"/>
      <c r="P27" s="4"/>
      <c r="Q27" s="4"/>
      <c r="R27" s="4"/>
      <c r="S27" s="4"/>
      <c r="T27" s="4"/>
      <c r="U27" s="4"/>
    </row>
    <row r="28" spans="2:21" x14ac:dyDescent="0.25">
      <c r="M28" s="4">
        <v>43671</v>
      </c>
      <c r="N28" s="4"/>
      <c r="O28" s="4"/>
      <c r="P28" s="4"/>
      <c r="Q28" s="4"/>
      <c r="R28" s="4"/>
      <c r="S28" s="4"/>
      <c r="T28" s="4"/>
      <c r="U28" s="4"/>
    </row>
    <row r="29" spans="2:21" x14ac:dyDescent="0.25">
      <c r="M29" s="4">
        <v>43672</v>
      </c>
      <c r="N29" s="4"/>
      <c r="O29" s="4"/>
      <c r="P29" s="4"/>
      <c r="Q29" s="4"/>
      <c r="R29" s="4"/>
      <c r="S29" s="4"/>
      <c r="T29" s="4"/>
      <c r="U29" s="4"/>
    </row>
    <row r="30" spans="2:21" x14ac:dyDescent="0.25">
      <c r="M30" s="4">
        <v>43673</v>
      </c>
      <c r="N30" s="4"/>
      <c r="O30" s="4"/>
      <c r="P30" s="4"/>
      <c r="Q30" s="4"/>
      <c r="R30" s="4"/>
      <c r="S30" s="4"/>
      <c r="T30" s="4"/>
      <c r="U30" s="4"/>
    </row>
    <row r="31" spans="2:21" x14ac:dyDescent="0.25">
      <c r="M31" s="4">
        <v>43674</v>
      </c>
      <c r="N31" s="4"/>
      <c r="O31" s="4"/>
      <c r="P31" s="4"/>
      <c r="Q31" s="4"/>
      <c r="R31" s="4"/>
      <c r="S31" s="4"/>
      <c r="T31" s="4"/>
      <c r="U31" s="4"/>
    </row>
    <row r="32" spans="2:21" x14ac:dyDescent="0.25">
      <c r="M32" s="4">
        <v>43675</v>
      </c>
      <c r="N32" s="4"/>
      <c r="O32" s="4"/>
      <c r="P32" s="4"/>
      <c r="Q32" s="4"/>
      <c r="R32" s="4"/>
      <c r="S32" s="4"/>
      <c r="T32" s="4"/>
      <c r="U32" s="4"/>
    </row>
    <row r="33" spans="13:21" x14ac:dyDescent="0.25">
      <c r="M33" s="4">
        <v>43676</v>
      </c>
      <c r="N33" s="4"/>
      <c r="O33" s="4"/>
      <c r="P33" s="4"/>
      <c r="Q33" s="4"/>
      <c r="R33" s="4"/>
      <c r="S33" s="4"/>
      <c r="T33" s="4"/>
      <c r="U33" s="4"/>
    </row>
    <row r="34" spans="13:21" x14ac:dyDescent="0.25">
      <c r="M34" s="4">
        <v>43677</v>
      </c>
      <c r="N34" s="4"/>
      <c r="O34" s="4"/>
      <c r="P34" s="4"/>
      <c r="Q34" s="4"/>
      <c r="R34" s="4"/>
      <c r="S34" s="4"/>
      <c r="T34" s="4"/>
      <c r="U34" s="4"/>
    </row>
    <row r="35" spans="13:21" x14ac:dyDescent="0.25">
      <c r="M35" s="4">
        <v>43678</v>
      </c>
      <c r="N35" s="4"/>
      <c r="O35" s="4"/>
      <c r="P35" s="4"/>
      <c r="Q35" s="4"/>
      <c r="R35" s="4"/>
      <c r="S35" s="4"/>
      <c r="T35" s="4"/>
      <c r="U35" s="4"/>
    </row>
    <row r="36" spans="13:21" x14ac:dyDescent="0.25">
      <c r="M36" s="4">
        <v>43679</v>
      </c>
      <c r="N36" s="4"/>
      <c r="O36" s="4"/>
      <c r="P36" s="4"/>
      <c r="Q36" s="4"/>
      <c r="R36" s="4"/>
      <c r="S36" s="4"/>
      <c r="T36" s="4"/>
      <c r="U36" s="4"/>
    </row>
    <row r="37" spans="13:21" x14ac:dyDescent="0.25">
      <c r="M37" s="4">
        <v>43680</v>
      </c>
      <c r="N37" s="4"/>
      <c r="O37" s="4"/>
      <c r="P37" s="4"/>
      <c r="Q37" s="4"/>
      <c r="R37" s="4"/>
      <c r="S37" s="4"/>
      <c r="T37" s="4"/>
      <c r="U37" s="4"/>
    </row>
    <row r="38" spans="13:21" x14ac:dyDescent="0.25">
      <c r="M38" s="4">
        <v>43681</v>
      </c>
      <c r="N38" s="4"/>
      <c r="O38" s="4"/>
      <c r="P38" s="4"/>
      <c r="Q38" s="4"/>
      <c r="R38" s="4"/>
      <c r="S38" s="4"/>
      <c r="T38" s="4"/>
      <c r="U38" s="4"/>
    </row>
    <row r="39" spans="13:21" x14ac:dyDescent="0.25">
      <c r="M39" s="4">
        <v>43682</v>
      </c>
      <c r="N39" s="4"/>
      <c r="O39" s="4"/>
      <c r="P39" s="4"/>
      <c r="Q39" s="4"/>
      <c r="R39" s="4"/>
      <c r="S39" s="4"/>
      <c r="T39" s="4"/>
      <c r="U39" s="4"/>
    </row>
    <row r="40" spans="13:21" x14ac:dyDescent="0.25">
      <c r="M40" s="4">
        <v>43683</v>
      </c>
      <c r="N40" s="4"/>
      <c r="O40" s="4"/>
      <c r="P40" s="4"/>
      <c r="Q40" s="4"/>
      <c r="R40" s="4"/>
      <c r="S40" s="4"/>
      <c r="T40" s="4"/>
      <c r="U40" s="4"/>
    </row>
    <row r="41" spans="13:21" x14ac:dyDescent="0.25">
      <c r="M41" s="4">
        <v>43684</v>
      </c>
      <c r="N41" s="4"/>
      <c r="O41" s="4"/>
      <c r="P41" s="4"/>
      <c r="Q41" s="4"/>
      <c r="R41" s="4"/>
      <c r="S41" s="4"/>
      <c r="T41" s="4"/>
      <c r="U41" s="4"/>
    </row>
    <row r="42" spans="13:21" x14ac:dyDescent="0.25">
      <c r="M42" s="4">
        <v>43685</v>
      </c>
      <c r="N42" s="4"/>
      <c r="O42" s="4"/>
      <c r="P42" s="4"/>
      <c r="Q42" s="4"/>
      <c r="R42" s="4"/>
      <c r="S42" s="4"/>
      <c r="T42" s="4"/>
      <c r="U42" s="4"/>
    </row>
    <row r="43" spans="13:21" x14ac:dyDescent="0.25">
      <c r="M43" s="4">
        <v>43686</v>
      </c>
      <c r="N43" s="4"/>
      <c r="O43" s="4"/>
      <c r="P43" s="4"/>
      <c r="Q43" s="4"/>
      <c r="R43" s="4"/>
      <c r="S43" s="4"/>
      <c r="T43" s="4"/>
      <c r="U43" s="4"/>
    </row>
    <row r="44" spans="13:21" x14ac:dyDescent="0.25">
      <c r="M44" s="4">
        <v>43687</v>
      </c>
      <c r="N44" s="4"/>
      <c r="O44" s="4"/>
      <c r="P44" s="4"/>
      <c r="Q44" s="4"/>
      <c r="R44" s="4"/>
      <c r="S44" s="4"/>
      <c r="T44" s="4"/>
      <c r="U44" s="4"/>
    </row>
    <row r="45" spans="13:21" x14ac:dyDescent="0.25">
      <c r="M45" s="4">
        <v>43688</v>
      </c>
      <c r="N45" s="4"/>
      <c r="O45" s="4"/>
      <c r="P45" s="4"/>
      <c r="Q45" s="4"/>
      <c r="R45" s="4"/>
      <c r="S45" s="4"/>
      <c r="T45" s="4"/>
      <c r="U45" s="4"/>
    </row>
    <row r="46" spans="13:21" x14ac:dyDescent="0.25">
      <c r="M46" s="4">
        <v>43689</v>
      </c>
      <c r="N46" s="4"/>
      <c r="O46" s="4"/>
      <c r="P46" s="4"/>
      <c r="Q46" s="4"/>
      <c r="R46" s="4"/>
      <c r="S46" s="4"/>
      <c r="T46" s="4"/>
      <c r="U46" s="4"/>
    </row>
    <row r="47" spans="13:21" x14ac:dyDescent="0.25">
      <c r="M47" s="4">
        <v>43690</v>
      </c>
      <c r="N47" s="4"/>
      <c r="O47" s="4"/>
      <c r="P47" s="4"/>
      <c r="Q47" s="4"/>
      <c r="R47" s="4"/>
      <c r="S47" s="4"/>
      <c r="T47" s="4"/>
      <c r="U47" s="4"/>
    </row>
    <row r="48" spans="13:21" x14ac:dyDescent="0.25">
      <c r="M48" s="4">
        <v>43691</v>
      </c>
      <c r="N48" s="4"/>
      <c r="O48" s="4"/>
      <c r="P48" s="4"/>
      <c r="Q48" s="4"/>
      <c r="R48" s="4"/>
      <c r="S48" s="4"/>
      <c r="T48" s="4"/>
      <c r="U48" s="4"/>
    </row>
    <row r="49" spans="13:21" x14ac:dyDescent="0.25">
      <c r="M49" s="4">
        <v>43692</v>
      </c>
      <c r="N49" s="4"/>
      <c r="O49" s="4"/>
      <c r="P49" s="4"/>
      <c r="Q49" s="4"/>
      <c r="R49" s="4"/>
      <c r="S49" s="4"/>
      <c r="T49" s="4"/>
      <c r="U49" s="4"/>
    </row>
    <row r="50" spans="13:21" x14ac:dyDescent="0.25">
      <c r="M50" s="4">
        <v>43693</v>
      </c>
      <c r="N50" s="4"/>
      <c r="O50" s="4"/>
      <c r="P50" s="4"/>
      <c r="Q50" s="4"/>
      <c r="R50" s="4"/>
      <c r="S50" s="4"/>
      <c r="T50" s="4"/>
      <c r="U50" s="4"/>
    </row>
    <row r="51" spans="13:21" x14ac:dyDescent="0.25">
      <c r="M51" s="4">
        <v>43694</v>
      </c>
      <c r="N51" s="4"/>
      <c r="O51" s="4"/>
      <c r="P51" s="4"/>
      <c r="Q51" s="4"/>
      <c r="R51" s="4"/>
      <c r="S51" s="4"/>
      <c r="T51" s="4"/>
      <c r="U51" s="4"/>
    </row>
    <row r="52" spans="13:21" x14ac:dyDescent="0.25">
      <c r="M52" s="4">
        <v>43695</v>
      </c>
      <c r="N52" s="4"/>
      <c r="O52" s="4"/>
      <c r="P52" s="4"/>
      <c r="Q52" s="4"/>
      <c r="R52" s="4"/>
      <c r="S52" s="4"/>
      <c r="T52" s="4"/>
      <c r="U52" s="4"/>
    </row>
    <row r="53" spans="13:21" x14ac:dyDescent="0.25">
      <c r="M53" s="4">
        <v>43696</v>
      </c>
      <c r="N53" s="4"/>
      <c r="O53" s="4"/>
      <c r="P53" s="4"/>
      <c r="Q53" s="4"/>
      <c r="R53" s="4"/>
      <c r="S53" s="4"/>
      <c r="T53" s="4"/>
      <c r="U53" s="4"/>
    </row>
    <row r="54" spans="13:21" x14ac:dyDescent="0.25">
      <c r="M54" s="4">
        <v>43697</v>
      </c>
      <c r="N54" s="4"/>
      <c r="O54" s="4"/>
      <c r="P54" s="4"/>
      <c r="Q54" s="4"/>
      <c r="R54" s="4"/>
      <c r="S54" s="4"/>
      <c r="T54" s="4"/>
      <c r="U54" s="4"/>
    </row>
    <row r="55" spans="13:21" x14ac:dyDescent="0.25">
      <c r="M55" s="4">
        <v>43698</v>
      </c>
      <c r="N55" s="4"/>
      <c r="O55" s="4"/>
      <c r="P55" s="4"/>
      <c r="Q55" s="4"/>
      <c r="R55" s="4"/>
      <c r="S55" s="4"/>
      <c r="T55" s="4"/>
      <c r="U55" s="4"/>
    </row>
    <row r="56" spans="13:21" x14ac:dyDescent="0.25">
      <c r="M56" s="4">
        <v>43699</v>
      </c>
      <c r="N56" s="4"/>
      <c r="O56" s="4"/>
      <c r="P56" s="4"/>
      <c r="Q56" s="4"/>
      <c r="R56" s="4"/>
      <c r="S56" s="4"/>
      <c r="T56" s="4"/>
      <c r="U56" s="4"/>
    </row>
    <row r="57" spans="13:21" x14ac:dyDescent="0.25">
      <c r="M57" s="4">
        <v>43700</v>
      </c>
      <c r="N57" s="4"/>
      <c r="O57" s="4"/>
      <c r="P57" s="4"/>
      <c r="Q57" s="4"/>
      <c r="R57" s="4"/>
      <c r="S57" s="4"/>
      <c r="T57" s="4"/>
      <c r="U57" s="4"/>
    </row>
    <row r="58" spans="13:21" x14ac:dyDescent="0.25">
      <c r="M58" s="4">
        <v>43701</v>
      </c>
      <c r="N58" s="4"/>
      <c r="O58" s="4"/>
      <c r="P58" s="4"/>
      <c r="Q58" s="4"/>
      <c r="R58" s="4"/>
      <c r="S58" s="4"/>
      <c r="T58" s="4"/>
      <c r="U58" s="4"/>
    </row>
    <row r="59" spans="13:21" x14ac:dyDescent="0.25">
      <c r="M59" s="4">
        <v>43702</v>
      </c>
      <c r="N59" s="4"/>
      <c r="O59" s="4"/>
      <c r="P59" s="4"/>
      <c r="Q59" s="4"/>
      <c r="R59" s="4"/>
      <c r="S59" s="4"/>
      <c r="T59" s="4"/>
      <c r="U59" s="4"/>
    </row>
    <row r="60" spans="13:21" x14ac:dyDescent="0.25">
      <c r="M60" s="4">
        <v>43703</v>
      </c>
      <c r="N60" s="4"/>
      <c r="O60" s="4"/>
      <c r="P60" s="4"/>
      <c r="Q60" s="4"/>
      <c r="R60" s="4"/>
      <c r="S60" s="4"/>
      <c r="T60" s="4"/>
      <c r="U60" s="4"/>
    </row>
    <row r="61" spans="13:21" x14ac:dyDescent="0.25">
      <c r="M61" s="4">
        <v>43704</v>
      </c>
      <c r="N61" s="4"/>
      <c r="O61" s="4"/>
      <c r="P61" s="4"/>
      <c r="Q61" s="4"/>
      <c r="R61" s="4"/>
      <c r="S61" s="4"/>
      <c r="T61" s="4"/>
      <c r="U61" s="4"/>
    </row>
    <row r="62" spans="13:21" x14ac:dyDescent="0.25">
      <c r="M62" s="4">
        <v>43705</v>
      </c>
      <c r="N62" s="4"/>
      <c r="O62" s="4"/>
      <c r="P62" s="4"/>
      <c r="Q62" s="4"/>
      <c r="R62" s="4"/>
      <c r="S62" s="4"/>
      <c r="T62" s="4"/>
      <c r="U62" s="4"/>
    </row>
    <row r="63" spans="13:21" x14ac:dyDescent="0.25">
      <c r="M63" s="4">
        <v>43706</v>
      </c>
      <c r="N63" s="4"/>
      <c r="O63" s="4"/>
      <c r="P63" s="4"/>
      <c r="Q63" s="4"/>
      <c r="R63" s="4"/>
      <c r="S63" s="4"/>
      <c r="T63" s="4"/>
      <c r="U63" s="4"/>
    </row>
    <row r="64" spans="13:21" x14ac:dyDescent="0.25">
      <c r="M64" s="4">
        <v>43707</v>
      </c>
      <c r="N64" s="4"/>
      <c r="O64" s="4"/>
      <c r="P64" s="4"/>
      <c r="Q64" s="4"/>
      <c r="R64" s="4"/>
      <c r="S64" s="4"/>
      <c r="T64" s="4"/>
      <c r="U64" s="4"/>
    </row>
    <row r="65" spans="13:21" x14ac:dyDescent="0.25">
      <c r="M65" s="4">
        <v>43708</v>
      </c>
      <c r="N65" s="4"/>
      <c r="O65" s="4"/>
      <c r="P65" s="4"/>
      <c r="Q65" s="4"/>
      <c r="R65" s="4"/>
      <c r="S65" s="4"/>
      <c r="T65" s="4"/>
      <c r="U65" s="4"/>
    </row>
    <row r="66" spans="13:21" x14ac:dyDescent="0.25">
      <c r="M66" s="4">
        <v>43709</v>
      </c>
      <c r="N66" s="4"/>
      <c r="O66" s="4"/>
      <c r="P66" s="4"/>
      <c r="Q66" s="4"/>
      <c r="R66" s="4"/>
      <c r="S66" s="4"/>
      <c r="T66" s="4"/>
      <c r="U66" s="4"/>
    </row>
    <row r="67" spans="13:21" x14ac:dyDescent="0.25">
      <c r="M67" s="4">
        <v>43710</v>
      </c>
      <c r="N67" s="4"/>
      <c r="O67" s="4"/>
      <c r="P67" s="4"/>
      <c r="Q67" s="4"/>
      <c r="R67" s="4"/>
      <c r="S67" s="4"/>
      <c r="T67" s="4"/>
      <c r="U67" s="4"/>
    </row>
    <row r="68" spans="13:21" x14ac:dyDescent="0.25">
      <c r="M68" s="4">
        <v>43711</v>
      </c>
      <c r="N68" s="4"/>
      <c r="O68" s="4"/>
      <c r="P68" s="4"/>
      <c r="Q68" s="4"/>
      <c r="R68" s="4"/>
      <c r="S68" s="4"/>
      <c r="T68" s="4"/>
      <c r="U68" s="4"/>
    </row>
    <row r="69" spans="13:21" x14ac:dyDescent="0.25">
      <c r="M69" s="4">
        <v>43712</v>
      </c>
      <c r="N69" s="4"/>
      <c r="O69" s="4"/>
      <c r="P69" s="4"/>
      <c r="Q69" s="4"/>
      <c r="R69" s="4"/>
      <c r="S69" s="4"/>
      <c r="T69" s="4"/>
      <c r="U69" s="4"/>
    </row>
    <row r="70" spans="13:21" x14ac:dyDescent="0.25">
      <c r="M70" s="4">
        <v>43713</v>
      </c>
      <c r="N70" s="4"/>
      <c r="O70" s="4"/>
      <c r="P70" s="4"/>
      <c r="Q70" s="4"/>
      <c r="R70" s="4"/>
      <c r="S70" s="4"/>
      <c r="T70" s="4"/>
      <c r="U70" s="4"/>
    </row>
    <row r="71" spans="13:21" x14ac:dyDescent="0.25">
      <c r="M71" s="4">
        <v>43714</v>
      </c>
      <c r="N71" s="4"/>
      <c r="O71" s="4"/>
      <c r="P71" s="4"/>
      <c r="Q71" s="4"/>
      <c r="R71" s="4"/>
      <c r="S71" s="4"/>
      <c r="T71" s="4"/>
      <c r="U71" s="4"/>
    </row>
    <row r="72" spans="13:21" x14ac:dyDescent="0.25">
      <c r="M72" s="4">
        <v>43715</v>
      </c>
      <c r="N72" s="4"/>
      <c r="O72" s="4"/>
      <c r="P72" s="4"/>
      <c r="Q72" s="4"/>
      <c r="R72" s="4"/>
      <c r="S72" s="4"/>
      <c r="T72" s="4"/>
      <c r="U72" s="4"/>
    </row>
    <row r="73" spans="13:21" x14ac:dyDescent="0.25">
      <c r="M73" s="4">
        <v>43716</v>
      </c>
      <c r="N73" s="4"/>
      <c r="O73" s="4"/>
      <c r="P73" s="4"/>
      <c r="Q73" s="4"/>
      <c r="R73" s="4"/>
      <c r="S73" s="4"/>
      <c r="T73" s="4"/>
      <c r="U73" s="4"/>
    </row>
    <row r="74" spans="13:21" x14ac:dyDescent="0.25">
      <c r="M74" s="4">
        <v>43717</v>
      </c>
      <c r="N74" s="4"/>
      <c r="O74" s="4"/>
      <c r="P74" s="4"/>
      <c r="Q74" s="4"/>
      <c r="R74" s="4"/>
      <c r="S74" s="4"/>
      <c r="T74" s="4"/>
      <c r="U74" s="4"/>
    </row>
    <row r="75" spans="13:21" x14ac:dyDescent="0.25">
      <c r="M75" s="4">
        <v>43718</v>
      </c>
      <c r="N75" s="4"/>
      <c r="O75" s="4"/>
      <c r="P75" s="4"/>
      <c r="Q75" s="4"/>
      <c r="R75" s="4"/>
      <c r="S75" s="4"/>
      <c r="T75" s="4"/>
      <c r="U75" s="4"/>
    </row>
    <row r="76" spans="13:21" x14ac:dyDescent="0.25">
      <c r="M76" s="4">
        <v>43719</v>
      </c>
      <c r="N76" s="4"/>
      <c r="O76" s="4"/>
      <c r="P76" s="4"/>
      <c r="Q76" s="4"/>
      <c r="R76" s="4"/>
      <c r="S76" s="4"/>
      <c r="T76" s="4"/>
      <c r="U76" s="4"/>
    </row>
    <row r="77" spans="13:21" x14ac:dyDescent="0.25">
      <c r="M77" s="4">
        <v>43720</v>
      </c>
      <c r="N77" s="4"/>
      <c r="O77" s="4"/>
      <c r="P77" s="4"/>
      <c r="Q77" s="4"/>
      <c r="R77" s="4"/>
      <c r="S77" s="4"/>
      <c r="T77" s="4"/>
      <c r="U77" s="4"/>
    </row>
    <row r="78" spans="13:21" x14ac:dyDescent="0.25">
      <c r="M78" s="4">
        <v>43721</v>
      </c>
      <c r="N78" s="4"/>
      <c r="O78" s="4"/>
      <c r="P78" s="4"/>
      <c r="Q78" s="4"/>
      <c r="R78" s="4"/>
      <c r="S78" s="4"/>
      <c r="T78" s="4"/>
      <c r="U78" s="4"/>
    </row>
    <row r="79" spans="13:21" x14ac:dyDescent="0.25">
      <c r="M79" s="4">
        <v>43722</v>
      </c>
      <c r="N79" s="4"/>
      <c r="O79" s="4"/>
      <c r="P79" s="4"/>
      <c r="Q79" s="4"/>
      <c r="R79" s="4"/>
      <c r="S79" s="4"/>
      <c r="T79" s="4"/>
      <c r="U79" s="4"/>
    </row>
    <row r="80" spans="13:21" x14ac:dyDescent="0.25">
      <c r="M80" s="4">
        <v>43723</v>
      </c>
      <c r="N80" s="4"/>
      <c r="O80" s="4"/>
      <c r="P80" s="4"/>
      <c r="Q80" s="4"/>
      <c r="R80" s="4"/>
      <c r="S80" s="4"/>
      <c r="T80" s="4"/>
      <c r="U80" s="4"/>
    </row>
    <row r="156" spans="13:21" x14ac:dyDescent="0.25">
      <c r="M156" s="4"/>
      <c r="N156" s="4"/>
      <c r="O156" s="4"/>
      <c r="P156" s="4"/>
      <c r="Q156" s="4"/>
      <c r="R156" s="4"/>
      <c r="S156" s="4"/>
      <c r="T156" s="4"/>
      <c r="U156" s="4"/>
    </row>
  </sheetData>
  <mergeCells count="4">
    <mergeCell ref="B2:C2"/>
    <mergeCell ref="E2:K2"/>
    <mergeCell ref="M2:R2"/>
    <mergeCell ref="B10:C10"/>
  </mergeCells>
  <dataValidations count="2">
    <dataValidation type="date" operator="greaterThan" allowBlank="1" showInputMessage="1" showErrorMessage="1" sqref="C18" xr:uid="{327B684F-FF4E-40E1-BDA2-A2237EA9F03D}">
      <formula1>1</formula1>
    </dataValidation>
    <dataValidation type="list" showInputMessage="1" showErrorMessage="1" sqref="C11:C17" xr:uid="{48252C03-85BA-4F22-9A8D-AF86556E0C87}">
      <formula1>"NO,YES"</formula1>
    </dataValidation>
  </dataValidation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10</vt:i4>
      </vt:variant>
    </vt:vector>
  </HeadingPairs>
  <TitlesOfParts>
    <vt:vector size="22" baseType="lpstr">
      <vt:lpstr>Template</vt:lpstr>
      <vt:lpstr>Count</vt:lpstr>
      <vt:lpstr>Length</vt:lpstr>
      <vt:lpstr>Wall Area</vt:lpstr>
      <vt:lpstr>Area</vt:lpstr>
      <vt:lpstr>Volume</vt:lpstr>
      <vt:lpstr>Masonry</vt:lpstr>
      <vt:lpstr>Settings</vt:lpstr>
      <vt:lpstr>Index</vt:lpstr>
      <vt:lpstr>0000</vt:lpstr>
      <vt:lpstr>0001</vt:lpstr>
      <vt:lpstr>0002</vt:lpstr>
      <vt:lpstr>Debug_Mode</vt:lpstr>
      <vt:lpstr>Development_Mode</vt:lpstr>
      <vt:lpstr>Schedule_Run_Date</vt:lpstr>
      <vt:lpstr>Works_Friday</vt:lpstr>
      <vt:lpstr>Works_Monday</vt:lpstr>
      <vt:lpstr>Works_Saturday</vt:lpstr>
      <vt:lpstr>Works_Sunday</vt:lpstr>
      <vt:lpstr>Works_Thrusday</vt:lpstr>
      <vt:lpstr>Works_Tuesday</vt:lpstr>
      <vt:lpstr>Works_Wednesday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2019-07-19T22:25:03Z</cp:lastPrinted>
  <dcterms:created xsi:type="dcterms:W3CDTF">2019-07-19T19:22:59Z</dcterms:created>
  <dcterms:modified xsi:type="dcterms:W3CDTF">2019-07-23T21:56:25Z</dcterms:modified>
</cp:coreProperties>
</file>